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ands Operative" sheetId="1" r:id="rId5"/>
    <sheet state="visible" name="Brand Data" sheetId="2" r:id="rId6"/>
    <sheet state="visible" name="Brand Analysis" sheetId="3" r:id="rId7"/>
    <sheet state="visible" name="Sales Strategy" sheetId="4" r:id="rId8"/>
    <sheet state="visible" name="AgentsAgencies" sheetId="5" r:id="rId9"/>
    <sheet state="visible" name="Agency Data" sheetId="6" r:id="rId10"/>
  </sheets>
  <definedNames>
    <definedName hidden="1" localSheetId="0" name="_xlnm._FilterDatabase">'Brands Operative'!$A$1:$K$65</definedName>
    <definedName hidden="1" localSheetId="1" name="_xlnm._FilterDatabase">'Brand Data'!$A$1:$P$46</definedName>
  </definedNames>
  <calcPr/>
  <pivotCaches>
    <pivotCache cacheId="0" r:id="rId11"/>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tc={2e4265c7-90f9-4a08-b09d-21847542421a}</author>
    <author>tc={3fa7469c-0ac3-4802-96cd-a36f75c3163e}</author>
    <author>tc={df466674-5213-45aa-9051-da9e892b1294}</author>
  </authors>
  <commentList>
    <comment authorId="0" xr:uid="{2e4265c7-90f9-4a08-b09d-21847542421a}" ref="A1">
      <text>
        <t xml:space="preserve">[Threaded comment]
 Your version of Excel allows you to read this threaded comment; however, any edits to it will get removed if the file is opened in a newer version of Excel. Learn more: https://go.microsoft.com/fwlink/?linkid=870924
Comment:
	Usiamo diversi modelli in base a quello che rispecchia i nostri parametri etici (training etico)
Control/consistency
Armani
ref sugar
Reply:
	come facciamo a tenere la musica al centro --&gt; spiegare come
</t>
      </text>
    </comment>
    <comment authorId="1" xr:uid="{3fa7469c-0ac3-4802-96cd-a36f75c3163e}" ref="A1">
      <text>
        <t xml:space="preserve">[Threaded comment]
 Your version of Excel allows you to read this threaded comment; however, any edits to it will get removed if the file is opened in a newer version of Excel. Learn more: https://go.microsoft.com/fwlink/?linkid=870924
Comment:
	Score calculated as below:
- They never use music or video (1)
- There is either music or video rarely present (2)
- There is either music or video sometimes present (3)
- There is either music or video most of the times present (4)
- There are music &amp; video always present (5)
</t>
      </text>
    </comment>
    <comment authorId="2" xr:uid="{df466674-5213-45aa-9051-da9e892b1294}" ref="A1">
      <text>
        <t xml:space="preserve">[Threaded comment]
 Your version of Excel allows you to read this threaded comment; however, any edits to it will get removed if the file is opened in a newer version of Excel. Learn more: https://go.microsoft.com/fwlink/?linkid=870924
Comment:
	how easy the explanation is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tc={2bd1ec61-9406-4a75-8289-f5ddfceef6ab}</author>
    <author>tc={aa36bd84-2677-4942-82ae-40b706bd595d}</author>
    <author>tc={b07598c5-0277-4821-92d0-c7609d91ed91}</author>
    <author>tc={c46198e4-e1f0-448b-9ee2-3d3b08cf5fbd}</author>
    <author>tc={dff0712a-75ea-4d22-89f7-b5617bd04ac9}</author>
  </authors>
  <commentList>
    <comment authorId="0" xr:uid="{2bd1ec61-9406-4a75-8289-f5ddfceef6ab}" ref="O1">
      <text>
        <t xml:space="preserve">[Threaded comment]
 Your version of Excel allows you to read this threaded comment; however, any edits to it will get removed if the file is opened in a newer version of Excel. Learn more: https://go.microsoft.com/fwlink/?linkid=870924
Comment:
	How easy the explanation is
</t>
      </text>
    </comment>
    <comment authorId="1" xr:uid="{aa36bd84-2677-4942-82ae-40b706bd595d}" ref="K1">
      <text>
        <t xml:space="preserve">[Threaded comment]
 Your version of Excel allows you to read this threaded comment; however, any edits to it will get removed if the file is opened in a newer version of Excel. Learn more: https://go.microsoft.com/fwlink/?linkid=870924
Comment:
	Score calculated on a range between 0 and 80k, with a scale 0-10, where 0 is 0 rev, but between 0 and 16k is 1.
</t>
      </text>
    </comment>
    <comment authorId="2" xr:uid="{b07598c5-0277-4821-92d0-c7609d91ed91}" ref="P1">
      <text>
        <t xml:space="preserve">[Threaded comment]
 Your version of Excel allows you to read this threaded comment; however, any edits to it will get removed if the file is opened in a newer version of Excel. Learn more: https://go.microsoft.com/fwlink/?linkid=870924
Comment:
	Alignment with main messages (1 point per section):
- Innovation at the service of human being/interaction
- Creativity/Music/Movie
- AI
- Young, Fresh, Fast startup
- Out of the box
</t>
      </text>
    </comment>
    <comment authorId="3" xr:uid="{c46198e4-e1f0-448b-9ee2-3d3b08cf5fbd}" ref="N1">
      <text>
        <t xml:space="preserve">[Threaded comment]
 Your version of Excel allows you to read this threaded comment; however, any edits to it will get removed if the file is opened in a newer version of Excel. Learn more: https://go.microsoft.com/fwlink/?linkid=870924
Comment:
	how easy is to get to the higher ranks of the company through our network or organic interest from product
</t>
      </text>
    </comment>
    <comment authorId="4" xr:uid="{dff0712a-75ea-4d22-89f7-b5617bd04ac9}" ref="L1">
      <text>
        <t xml:space="preserve">[Threaded comment]
 Your version of Excel allows you to read this threaded comment; however, any edits to it will get removed if the file is opened in a newer version of Excel. Learn more: https://go.microsoft.com/fwlink/?linkid=870924
Comment:
	Level of tailorization required from the client. with:
5 = Catalog
4 = Catalog + creative integrazion into the brand concept
3 = Tailorization of catalog + creative Integration
2 = Tailored movie + artistic consultancy
1 =  Tailored movie + artistic consultancy + additional side products (NoWay, tailorization of tool)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tc={0b0e9b9b-2bb6-4b50-9fe2-a8e3735d7fa7}</author>
    <author>tc={599d7832-2218-42ba-b94b-e06bdf4ae73e}</author>
    <author>tc={62c15fcf-1325-41a6-ab43-77556c496b29}</author>
    <author>tc={ddd9b755-4040-4932-8c1b-35d7a57e179d}</author>
  </authors>
  <commentList>
    <comment authorId="0" xr:uid="{0b0e9b9b-2bb6-4b50-9fe2-a8e3735d7fa7}" ref="A16">
      <text>
        <t xml:space="preserve">[Threaded comment]
 Your version of Excel allows you to read this threaded comment; however, any edits to it will get removed if the file is opened in a newer version of Excel. Learn more: https://go.microsoft.com/fwlink/?linkid=870924
Comment:
	Score calculated as below:
- They never use live music or video (1)
- There is either live music or video rarely present (2)
- There is either live music or video sometimes present (3)
- There is either live music or video most of the times present (4)
- There are live music &amp; video always present (5)
Reply:
	Score calculated as below:
- They never use live music or video (1)
- There is either live music or video sometimes present (2)
- There is either live music or video most of the times present (3)
- There are live music &amp; video with innovative solutions (4)
</t>
      </text>
    </comment>
    <comment authorId="1" xr:uid="{599d7832-2218-42ba-b94b-e06bdf4ae73e}" ref="A16">
      <text>
        <t xml:space="preserve">[Threaded comment]
 Your version of Excel allows you to read this threaded comment; however, any edits to it will get removed if the file is opened in a newer version of Excel. Learn more: https://go.microsoft.com/fwlink/?linkid=870924
Comment:
	Score calculated as below:
- They never use music or video (1)
- There is either music or video rarely present (2)
- There is either music or video sometimes present (3)
- There is either music or video most of the times present (4)
- There are music &amp; video always present (5)
</t>
      </text>
    </comment>
    <comment authorId="2" xr:uid="{62c15fcf-1325-41a6-ab43-77556c496b29}" ref="D10">
      <text>
        <t xml:space="preserve">[Threaded comment]
 Your version of Excel allows you to read this threaded comment; however, any edits to it will get removed if the file is opened in a newer version of Excel. Learn more: https://go.microsoft.com/fwlink/?linkid=870924
Comment:
	80 top
</t>
      </text>
    </comment>
    <comment authorId="3" xr:uid="{ddd9b755-4040-4932-8c1b-35d7a57e179d}" ref="E10">
      <text>
        <t xml:space="preserve">[Threaded comment]
 Your version of Excel allows you to read this threaded comment; however, any edits to it will get removed if the file is opened in a newer version of Excel. Learn more: https://go.microsoft.com/fwlink/?linkid=870924
Comment:
	80 top
</t>
      </text>
    </comment>
  </commentList>
</comments>
</file>

<file path=xl/sharedStrings.xml><?xml version="1.0" encoding="utf-8"?>
<sst xmlns="http://schemas.openxmlformats.org/spreadsheetml/2006/main" count="908" uniqueCount="307">
  <si>
    <t>12</t>
  </si>
  <si>
    <t>Status</t>
  </si>
  <si>
    <t>Priority</t>
  </si>
  <si>
    <t>Owner</t>
  </si>
  <si>
    <t>POC</t>
  </si>
  <si>
    <t>Industry</t>
  </si>
  <si>
    <t>Initial contact</t>
  </si>
  <si>
    <t>Last Contact</t>
  </si>
  <si>
    <t>Follow Up</t>
  </si>
  <si>
    <t>Closing/Failed</t>
  </si>
  <si>
    <t>Notes</t>
  </si>
  <si>
    <t>Alibaba</t>
  </si>
  <si>
    <t>Deal Closed</t>
  </si>
  <si>
    <t>Hot Lead</t>
  </si>
  <si>
    <t>Riccardo Acciarino</t>
  </si>
  <si>
    <t>Esmie Wanghui</t>
  </si>
  <si>
    <t>Tech/Telecom</t>
  </si>
  <si>
    <t>Alleanza</t>
  </si>
  <si>
    <t>Financial</t>
  </si>
  <si>
    <t>Da risentirci per organizzare evento settembre</t>
  </si>
  <si>
    <t>Allianz Bank</t>
  </si>
  <si>
    <t>Early</t>
  </si>
  <si>
    <t>Warm Lead</t>
  </si>
  <si>
    <t>Riccardo Cervellin</t>
  </si>
  <si>
    <t>Quando andiamo ad incontrare la CEO?</t>
  </si>
  <si>
    <t>Allianz CH</t>
  </si>
  <si>
    <t>Giulio Casagrande</t>
  </si>
  <si>
    <t>Stephan Pfaeffli</t>
  </si>
  <si>
    <t>ANIMA SGR</t>
  </si>
  <si>
    <t>Still to open</t>
  </si>
  <si>
    <t>Cold Lead</t>
  </si>
  <si>
    <t>Cervellin</t>
  </si>
  <si>
    <t>N/A</t>
  </si>
  <si>
    <t>Armani</t>
  </si>
  <si>
    <t>Back to Attack</t>
  </si>
  <si>
    <t xml:space="preserve">Luxottica/Camerana/rebecca </t>
  </si>
  <si>
    <t>Fashion</t>
  </si>
  <si>
    <t>Riscrivere a rebecca con CC andrea</t>
  </si>
  <si>
    <t>BANCA ALETTI</t>
  </si>
  <si>
    <t>BANCA SELLA/BANCA PATRIMONI</t>
  </si>
  <si>
    <t>Barilla</t>
  </si>
  <si>
    <t>Lorenzo Ramon</t>
  </si>
  <si>
    <t>Johannes Wick</t>
  </si>
  <si>
    <t>FMCG</t>
  </si>
  <si>
    <t>Never received a reply</t>
  </si>
  <si>
    <t>Biffi</t>
  </si>
  <si>
    <t>Did not work out</t>
  </si>
  <si>
    <t>Paolo Artoni</t>
  </si>
  <si>
    <t xml:space="preserve">It all started as an extra-budget for the TUTTOFOOD, agency and marketing manager was super convinced, however procurement office blocked the expense as they will have soon another big team dinner for anniversary. </t>
  </si>
  <si>
    <t>BMW China</t>
  </si>
  <si>
    <t>Connie Wei</t>
  </si>
  <si>
    <t>Automotive</t>
  </si>
  <si>
    <t>Decks sent to Connie Wei</t>
  </si>
  <si>
    <t>BNL/BNP</t>
  </si>
  <si>
    <t>Anna Zanardi</t>
  </si>
  <si>
    <t>Chiesto di vederci a Roma 8-9-10</t>
  </si>
  <si>
    <t>BPER</t>
  </si>
  <si>
    <t>Bestetti\Cervellin\Piano B</t>
  </si>
  <si>
    <t>Waiting from Piano B Agency</t>
  </si>
  <si>
    <t>Bridge partners</t>
  </si>
  <si>
    <t>Other</t>
  </si>
  <si>
    <t>Brunello Cucinelli</t>
  </si>
  <si>
    <t>Advanced</t>
  </si>
  <si>
    <t>Francesco Bottigliero</t>
  </si>
  <si>
    <t>Nuovo incontro per real time gen</t>
  </si>
  <si>
    <t>Coop CH</t>
  </si>
  <si>
    <t>CREDEM</t>
  </si>
  <si>
    <t>Direttore Generale Private Banking Matteo Benetti\Cervellin</t>
  </si>
  <si>
    <t>DELL EMEA</t>
  </si>
  <si>
    <t>Alicia Cohen</t>
  </si>
  <si>
    <t>Follow up fatto, DELL Italia appuntamento per capire se fare qualcosa insieme, intanto siamo andati avanti per poste italiane e DELL EMEA scomparsi tranne Austria che ha detto di no</t>
  </si>
  <si>
    <t>Deloitte</t>
  </si>
  <si>
    <t>Marco Seco</t>
  </si>
  <si>
    <t>Consultancy</t>
  </si>
  <si>
    <t>EU Startup</t>
  </si>
  <si>
    <t>Thomas Ohr</t>
  </si>
  <si>
    <t>Fair</t>
  </si>
  <si>
    <t>Chiusa Programmazione/no soldi</t>
  </si>
  <si>
    <t>Fastweb&amp;Vodafone</t>
  </si>
  <si>
    <t>Tipa AI ancora non ha risposto, da fare followup in presenza con Federico inizio luglio</t>
  </si>
  <si>
    <t>Festival Montecarlo AI Cinema</t>
  </si>
  <si>
    <t>Money?</t>
  </si>
  <si>
    <t>Fincantieri</t>
  </si>
  <si>
    <t>Fineco</t>
  </si>
  <si>
    <t>VentiCento\Cervellin</t>
  </si>
  <si>
    <t>Fondazione 101</t>
  </si>
  <si>
    <t>Fred - Machine Cinema</t>
  </si>
  <si>
    <t>FGI Miami</t>
  </si>
  <si>
    <t>Ford Foundation, Pianist, RGA, Presentation</t>
  </si>
  <si>
    <t>Freemantle</t>
  </si>
  <si>
    <t>mandare materiale fastweb vodafone</t>
  </si>
  <si>
    <t>Generali - Taverna</t>
  </si>
  <si>
    <t>Manca Contratto</t>
  </si>
  <si>
    <t>Generali Bank</t>
  </si>
  <si>
    <t>Case studies mandati</t>
  </si>
  <si>
    <t>Givaudan</t>
  </si>
  <si>
    <t>Tom McGoun</t>
  </si>
  <si>
    <t>Creare primo incontro</t>
  </si>
  <si>
    <t>Gucci</t>
  </si>
  <si>
    <t>VentiCento</t>
  </si>
  <si>
    <t>Hanno fatto casino VentiCento, peccato</t>
  </si>
  <si>
    <t>Guerilla Classics</t>
  </si>
  <si>
    <t>Herbert Smith</t>
  </si>
  <si>
    <t>IRB</t>
  </si>
  <si>
    <t>Elisabetta Genovese</t>
  </si>
  <si>
    <t>Aspettare risposta</t>
  </si>
  <si>
    <t>L'Oréal</t>
  </si>
  <si>
    <t>Luxottica</t>
  </si>
  <si>
    <t>Maverick</t>
  </si>
  <si>
    <t>Glenda talks with Sophia and get back</t>
  </si>
  <si>
    <t>MCI</t>
  </si>
  <si>
    <t>David Granite</t>
  </si>
  <si>
    <t>Feedback waiting</t>
  </si>
  <si>
    <t>Mediolanum</t>
  </si>
  <si>
    <t>Mandata mail per demo da loro</t>
  </si>
  <si>
    <t>Mediolanum IE</t>
  </si>
  <si>
    <t>MK2</t>
  </si>
  <si>
    <t>Elite Nebot</t>
  </si>
  <si>
    <t>riprendere contatti (Cannes?)</t>
  </si>
  <si>
    <t>Moncler</t>
  </si>
  <si>
    <t>NOI Techpark</t>
  </si>
  <si>
    <t>Stefania TIboni</t>
  </si>
  <si>
    <t>Ci hanno chiesto di ridurre budget</t>
  </si>
  <si>
    <t>ONEX - Onassis</t>
  </si>
  <si>
    <t>Katy FGI Miami</t>
  </si>
  <si>
    <t>OTP</t>
  </si>
  <si>
    <t>Gabor Vass</t>
  </si>
  <si>
    <t>Waiting Feedback</t>
  </si>
  <si>
    <t>Pagani</t>
  </si>
  <si>
    <t>Simone Manneschi, Bruno Cerella</t>
  </si>
  <si>
    <t>PMI</t>
  </si>
  <si>
    <t>Reza sharbabaki</t>
  </si>
  <si>
    <t xml:space="preserve">Non risponde </t>
  </si>
  <si>
    <t>Poste IT</t>
  </si>
  <si>
    <t>Antonio Sorlini / Geronimo Pirro</t>
  </si>
  <si>
    <t>Incontro avvenuto, vogliono concept più tailorizzato per Pop Up stores</t>
  </si>
  <si>
    <t>Prometeia</t>
  </si>
  <si>
    <t>Gino Mattiuzzo</t>
  </si>
  <si>
    <t>PWC</t>
  </si>
  <si>
    <t>Marco Guaita\Cervellin</t>
  </si>
  <si>
    <t>Qatar Airways</t>
  </si>
  <si>
    <t>Qatar Museums</t>
  </si>
  <si>
    <t>QNB</t>
  </si>
  <si>
    <t>Raiffeisen</t>
  </si>
  <si>
    <t>Pietro Masciadri / Salvatore Parise</t>
  </si>
  <si>
    <t>Rarissima</t>
  </si>
  <si>
    <t>Riscritto a Paolo Milini</t>
  </si>
  <si>
    <t>Reply</t>
  </si>
  <si>
    <t>Approvazione</t>
  </si>
  <si>
    <t>SD WORX</t>
  </si>
  <si>
    <t>PV Agency</t>
  </si>
  <si>
    <t>il budget aumenterà ancora</t>
  </si>
  <si>
    <t>SMBC/Clifford Chance</t>
  </si>
  <si>
    <t>Romolo Rossi</t>
  </si>
  <si>
    <t>Tom Shieh</t>
  </si>
  <si>
    <t>UBP</t>
  </si>
  <si>
    <t>Pietro Masciadri / Waldo Alvarez Santullano</t>
  </si>
  <si>
    <t>VivaTech</t>
  </si>
  <si>
    <t>Yasmine El Ghazi</t>
  </si>
  <si>
    <t>Cucinelli likes the 17th but it's closed</t>
  </si>
  <si>
    <t>WeWealth</t>
  </si>
  <si>
    <t>Wired</t>
  </si>
  <si>
    <t>YPO.ORG</t>
  </si>
  <si>
    <t>Name</t>
  </si>
  <si>
    <t>Type</t>
  </si>
  <si>
    <t>Average Tempo</t>
  </si>
  <si>
    <t>Tempo</t>
  </si>
  <si>
    <t>Tempo Score</t>
  </si>
  <si>
    <t>Closing</t>
  </si>
  <si>
    <t>Process</t>
  </si>
  <si>
    <t>Number of deals closed</t>
  </si>
  <si>
    <t>Client Budget Per Event</t>
  </si>
  <si>
    <t>Type of assumption</t>
  </si>
  <si>
    <t>Budget per Event Score</t>
  </si>
  <si>
    <t>Customization Score (5 low -1 high)</t>
  </si>
  <si>
    <t>Accessibility</t>
  </si>
  <si>
    <t>Accessibility Score (5 low - 1 high)</t>
  </si>
  <si>
    <t>Receptivity Score (1 hard - 5 easy)</t>
  </si>
  <si>
    <t>Alignment Score</t>
  </si>
  <si>
    <t>No</t>
  </si>
  <si>
    <t>Failed</t>
  </si>
  <si>
    <t>Confirmed</t>
  </si>
  <si>
    <t>C</t>
  </si>
  <si>
    <t>Yes</t>
  </si>
  <si>
    <t>Closed</t>
  </si>
  <si>
    <t>Open</t>
  </si>
  <si>
    <t>Estimated</t>
  </si>
  <si>
    <t>Scout</t>
  </si>
  <si>
    <t>Art Director</t>
  </si>
  <si>
    <t>Scout (ma ci hanno scritto loro)</t>
  </si>
  <si>
    <t>Board</t>
  </si>
  <si>
    <t xml:space="preserve">C </t>
  </si>
  <si>
    <t>Director</t>
  </si>
  <si>
    <t>Finance</t>
  </si>
  <si>
    <t>Generali</t>
  </si>
  <si>
    <t>Board - C</t>
  </si>
  <si>
    <t>SMBC</t>
  </si>
  <si>
    <t>Poste Italiane</t>
  </si>
  <si>
    <t>Mid-Mng</t>
  </si>
  <si>
    <t>Bridge Partners</t>
  </si>
  <si>
    <t>Professional Services</t>
  </si>
  <si>
    <t>Partner</t>
  </si>
  <si>
    <t>Vice President</t>
  </si>
  <si>
    <t>DELL Technologies</t>
  </si>
  <si>
    <t>Values</t>
  </si>
  <si>
    <t xml:space="preserve">Budget per Event </t>
  </si>
  <si>
    <t>Service</t>
  </si>
  <si>
    <t>Time</t>
  </si>
  <si>
    <t xml:space="preserve">Accessibility </t>
  </si>
  <si>
    <t xml:space="preserve">Alignment </t>
  </si>
  <si>
    <t xml:space="preserve">Receptivity </t>
  </si>
  <si>
    <t>Number of Companies (opened)</t>
  </si>
  <si>
    <t>Number of companies EU (total)</t>
  </si>
  <si>
    <t>Economical Efficiency</t>
  </si>
  <si>
    <t>Ease of Access</t>
  </si>
  <si>
    <t xml:space="preserve">Approached Market </t>
  </si>
  <si>
    <t>Music+Video Entertainment</t>
  </si>
  <si>
    <t>Overall Client Valuation</t>
  </si>
  <si>
    <t xml:space="preserve">Medium </t>
  </si>
  <si>
    <t>Low</t>
  </si>
  <si>
    <t>High</t>
  </si>
  <si>
    <t>Consulting/Professional Services</t>
  </si>
  <si>
    <t>Marketing Need</t>
  </si>
  <si>
    <t>- High quality and lower costs communication. 
- Refresh and novelty need.
- More gamified/entertaining event.</t>
  </si>
  <si>
    <t>- High quality and lower costs communication. 
- Refresh and novelty need.
- More gamified/entertaining.event</t>
  </si>
  <si>
    <t xml:space="preserve">- innovation message not merely linked to the product, creative, fresh, human. Distance between innovation and clients is percieved as bigger even though the products are more UF. Tech at the service of human being. 
- Position technology as something more appealing/less scary.
- Always new, always different. 
- They wanna be apple. </t>
  </si>
  <si>
    <t xml:space="preserve">- AI augmentation and not replacement message.
- Refresh and novelty need.
- More entertaining events. </t>
  </si>
  <si>
    <t>- Refresh and novel positioning.
- Human and Innovation, where the human part is central.
- Communicate boring, difficult, non-tangible, expensive product with a creative, innovative, human solution: to boost trust, identification and wow effect.</t>
  </si>
  <si>
    <t xml:space="preserve">- More diversified, innovative, engaging, sharable entertainment at lower costs. </t>
  </si>
  <si>
    <t>- High quality and lower costs communication. 
- Refresh and novelty need.
- More gamified/entertaining product trial.</t>
  </si>
  <si>
    <t>Product/Service Need</t>
  </si>
  <si>
    <t>- No product need outside communication/positioning.</t>
  </si>
  <si>
    <t xml:space="preserve">- Implementation in app or usage through their devices/services, they need to do it faster (start-up), more creative/engaging (no creativity into their teams), something to be used through their infrastructures. They build the box and we fill it out. </t>
  </si>
  <si>
    <t xml:space="preserve">- Lack of innovative solutions to show/propose. </t>
  </si>
  <si>
    <t xml:space="preserve">- Increase appeal for attendees through innovation, creativity and wow effect. Target: Sponsors, Businesses booths, Consumers tickets </t>
  </si>
  <si>
    <t>Staff Need</t>
  </si>
  <si>
    <t xml:space="preserve">- Low AI-Interaction knowledge 
- Personal responisibilities for innovation </t>
  </si>
  <si>
    <t xml:space="preserve">- Low AI &amp; Interactivity knowledge 
- Personal responisibilities for innovation </t>
  </si>
  <si>
    <t>Value Proposition</t>
  </si>
  <si>
    <t>- All in one solution (entertainment, consultancy, material), fast, engaging, new.
- Startup approach/products: flexible, committed, high quality, no need for big teams.
- Non tangible products are better sold by human engagement. Messages through music+movie are more effective.
- Tech at the service of human being</t>
  </si>
  <si>
    <r>
      <rPr>
        <rFont val="Arial"/>
        <color theme="1"/>
      </rPr>
      <t xml:space="preserve">- All in one solution (entertainment, consultancy, material), fast, engaging, new.
- Startup approach/products: flexible, committed, high quality, no need for big teams.
- Non tangible products are better sold by human engagement. Messages through music+movie are more effective.
</t>
    </r>
    <r>
      <rPr>
        <rFont val="Arial"/>
        <b/>
        <color theme="1"/>
      </rPr>
      <t>- Tech at the service of human creativity</t>
    </r>
  </si>
  <si>
    <r>
      <rPr>
        <rFont val="Arial"/>
        <color theme="1"/>
      </rPr>
      <t xml:space="preserve">- All in one solution (entertainment, consultancy, material), </t>
    </r>
    <r>
      <rPr>
        <rFont val="Arial"/>
        <b/>
        <color theme="1"/>
      </rPr>
      <t>qualitative, wow, artistic, new.</t>
    </r>
    <r>
      <rPr>
        <rFont val="Arial"/>
        <color theme="1"/>
      </rPr>
      <t xml:space="preserve">
- Messages through music+movie are more effective.
-</t>
    </r>
    <r>
      <rPr>
        <rFont val="Arial"/>
        <b/>
        <color theme="1"/>
      </rPr>
      <t xml:space="preserve"> Simple integration of our tech into their activations and event.</t>
    </r>
    <r>
      <rPr>
        <rFont val="Arial"/>
        <color theme="1"/>
      </rPr>
      <t xml:space="preserve">
</t>
    </r>
    <r>
      <rPr>
        <rFont val="Arial"/>
        <b/>
        <color theme="1"/>
      </rPr>
      <t>- Tech at the service of human creativity</t>
    </r>
  </si>
  <si>
    <r>
      <rPr>
        <rFont val="Arial"/>
        <color theme="1"/>
      </rPr>
      <t xml:space="preserve">- All in one solution (entertainment, consultancy, material), </t>
    </r>
    <r>
      <rPr>
        <rFont val="Arial"/>
        <b/>
        <color theme="1"/>
      </rPr>
      <t>qualitative, wow, artistic, new.</t>
    </r>
    <r>
      <rPr>
        <rFont val="Arial"/>
        <color theme="1"/>
      </rPr>
      <t xml:space="preserve">
- Startup approach/products: flexible, committed, high quality, no need for big teams.
- </t>
    </r>
    <r>
      <rPr>
        <rFont val="Arial"/>
        <b/>
        <color theme="1"/>
      </rPr>
      <t>Simple integration of our tech into their activations and event.</t>
    </r>
    <r>
      <rPr>
        <rFont val="Arial"/>
        <color theme="1"/>
      </rPr>
      <t xml:space="preserve">
</t>
    </r>
    <r>
      <rPr>
        <rFont val="Arial"/>
        <b/>
        <color theme="1"/>
      </rPr>
      <t>- Tech at the service of human being</t>
    </r>
  </si>
  <si>
    <r>
      <rPr>
        <rFont val="Arial"/>
        <color theme="1"/>
      </rPr>
      <t>- All in one solution (entertainment, consultancy, material), fast, engaging, new.
-</t>
    </r>
    <r>
      <rPr>
        <rFont val="Arial"/>
        <b/>
        <color theme="1"/>
      </rPr>
      <t xml:space="preserve"> Differenciation and engagment opportunity</t>
    </r>
    <r>
      <rPr>
        <rFont val="Arial"/>
        <color theme="1"/>
      </rPr>
      <t xml:space="preserve">
</t>
    </r>
    <r>
      <rPr>
        <rFont val="Arial"/>
        <b/>
        <color theme="1"/>
      </rPr>
      <t>- Tech at the service of human being</t>
    </r>
  </si>
  <si>
    <r>
      <rPr>
        <rFont val="Arial"/>
        <color theme="1"/>
      </rPr>
      <t xml:space="preserve">- All in one solution (entertainment, consultancy, material), </t>
    </r>
    <r>
      <rPr>
        <rFont val="Arial"/>
        <b/>
        <color theme="1"/>
      </rPr>
      <t>qualitative, wow, artistic, new.</t>
    </r>
    <r>
      <rPr>
        <rFont val="Arial"/>
        <color theme="1"/>
      </rPr>
      <t xml:space="preserve">
- Messages through music+movie are more effective.
-</t>
    </r>
    <r>
      <rPr>
        <rFont val="Arial"/>
        <b/>
        <color theme="1"/>
      </rPr>
      <t xml:space="preserve"> Differenciation and engagment opportunity</t>
    </r>
    <r>
      <rPr>
        <rFont val="Arial"/>
        <color theme="1"/>
      </rPr>
      <t xml:space="preserve">
</t>
    </r>
    <r>
      <rPr>
        <rFont val="Arial"/>
        <b/>
        <color theme="1"/>
      </rPr>
      <t>- Tech at the service of human being</t>
    </r>
  </si>
  <si>
    <t>Medium</t>
  </si>
  <si>
    <t>Resistant</t>
  </si>
  <si>
    <t>To open</t>
  </si>
  <si>
    <t>Still closed sectors</t>
  </si>
  <si>
    <t>Nr. of companies</t>
  </si>
  <si>
    <t>Market size (in USD billion)</t>
  </si>
  <si>
    <t>Action #1 (Research)</t>
  </si>
  <si>
    <t xml:space="preserve">Technology/product implementation inside their own propositions, so that the first event is just a door opener for more intrusive penetration </t>
  </si>
  <si>
    <t xml:space="preserve">Top-Down Overall </t>
  </si>
  <si>
    <t>More detailed segmentation of type and need</t>
  </si>
  <si>
    <t>Action #2 (Product Exp.)</t>
  </si>
  <si>
    <t xml:space="preserve">More creativity that leverages our already existing library + knowledge, as they are more open to innovation and wow effect. keep it simple at the beginning and then a bit more complicated to make them feel part of the process and knowledged </t>
  </si>
  <si>
    <t>Find more specific product-cost solution and few specific detailed side products to ease the process and the explanations</t>
  </si>
  <si>
    <t>2 max clear and simple products to explain in the easiest way</t>
  </si>
  <si>
    <t>be open in order to understand the need</t>
  </si>
  <si>
    <t>➜</t>
  </si>
  <si>
    <t>Beauty</t>
  </si>
  <si>
    <t>Action #3 (Sales process)</t>
  </si>
  <si>
    <t xml:space="preserve">Be brave and out of the box, underline the alignment </t>
  </si>
  <si>
    <t>Push credibility and reputation</t>
  </si>
  <si>
    <t>Push the added value of creative and human OO side</t>
  </si>
  <si>
    <t>Talk less, listen more</t>
  </si>
  <si>
    <t>Real Estate</t>
  </si>
  <si>
    <t>Focus</t>
  </si>
  <si>
    <t>Healthcare &amp; Pharma</t>
  </si>
  <si>
    <t>Entertainment (Streaming/Gaming/Cinema)</t>
  </si>
  <si>
    <t>Alcohol &amp; Tobacco</t>
  </si>
  <si>
    <t>Luxury Nautic/crocere</t>
  </si>
  <si>
    <t>Restricted sectors</t>
  </si>
  <si>
    <t>Task</t>
  </si>
  <si>
    <t>PVAgency</t>
  </si>
  <si>
    <t>Paola di Bello (Project Leader)</t>
  </si>
  <si>
    <t xml:space="preserve">Inviata presentazione per il cliente che ha espressamente chiesto di noi, non ci ha trovato l'agenzia. Cliente SD Worx
Meeting con il cliente per presentare la proposta
</t>
  </si>
  <si>
    <t>Handfactory</t>
  </si>
  <si>
    <t>Newu Agency</t>
  </si>
  <si>
    <t>Cristina Foddai</t>
  </si>
  <si>
    <t>Followup mandato con updates, per verificare potenziali progetti</t>
  </si>
  <si>
    <t>Blossom</t>
  </si>
  <si>
    <t>Glenda Maverick</t>
  </si>
  <si>
    <t>Maverick 1000</t>
  </si>
  <si>
    <t>Material sent</t>
  </si>
  <si>
    <t>Daniel Raphael</t>
  </si>
  <si>
    <t>Miami FO</t>
  </si>
  <si>
    <t>Presentato dal tipo con collana power</t>
  </si>
  <si>
    <t>Talent Resources</t>
  </si>
  <si>
    <t>Miami FO tramite Luca Villa</t>
  </si>
  <si>
    <t>Jeffrey Stein</t>
  </si>
  <si>
    <t xml:space="preserve">Kelly H. Zou </t>
  </si>
  <si>
    <t>Cinese che parlava un sacco non figa</t>
  </si>
  <si>
    <t>Mario Munoz</t>
  </si>
  <si>
    <t>Colombiano alto e simpatico</t>
  </si>
  <si>
    <t>Sister Of Nicky</t>
  </si>
  <si>
    <t>Maverick Next</t>
  </si>
  <si>
    <t>Sorella lavora per una agenzia eventi</t>
  </si>
  <si>
    <t>Pedro Menocal</t>
  </si>
  <si>
    <t xml:space="preserve">Vaibhav </t>
  </si>
  <si>
    <t>Anmol Goel</t>
  </si>
  <si>
    <t>Send Deck</t>
  </si>
  <si>
    <t>Budget</t>
  </si>
  <si>
    <t>Receptivity</t>
  </si>
  <si>
    <t>Alignment</t>
  </si>
  <si>
    <t>Sector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</si>
</sst>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quot;/&quot;m&quot;/&quot;yyyy"/>
    <numFmt numFmtId="165" formatCode="d/m/yyyy"/>
    <numFmt numFmtId="166" formatCode="0.0"/>
    <numFmt numFmtId="167" formatCode="M/d/yyyy"/>
    <numFmt numFmtId="168" formatCode="d&quot;/&quot;m&quot;/&quot;yy"/>
  </numFmts>
  <fonts count="26">
    <font>
      <sz val="10.0"/>
      <color rgb="FF000000"/>
      <name val="Arial"/>
      <scheme val="minor"/>
    </font>
    <font>
      <color theme="1"/>
      <name val="Arial"/>
      <scheme val="minor"/>
    </font>
    <font>
      <color theme="1"/>
      <name val="Roboto"/>
    </font>
    <font>
      <b/>
      <color rgb="FFFFFFFF"/>
      <name val="Roboto"/>
    </font>
    <font>
      <u/>
      <color theme="1"/>
      <name val="Arial"/>
      <scheme val="minor"/>
    </font>
    <font>
      <color theme="1"/>
      <name val="Arial"/>
    </font>
    <font>
      <u/>
      <color theme="1"/>
      <name val="Arial"/>
      <scheme val="minor"/>
    </font>
    <font>
      <color rgb="FF434343"/>
      <name val="Roboto"/>
    </font>
    <font>
      <color rgb="FF434343"/>
      <name val="Arial"/>
    </font>
    <font>
      <u/>
      <color theme="1"/>
      <name val="Arial"/>
      <scheme val="minor"/>
    </font>
    <font>
      <u/>
      <color theme="1"/>
      <name val="Arial"/>
      <scheme val="minor"/>
    </font>
    <font>
      <u/>
      <color rgb="FF0000FF"/>
      <name val="Roboto"/>
    </font>
    <font>
      <b/>
      <color theme="1"/>
      <name val="Roboto"/>
    </font>
    <font>
      <color rgb="FFFFC8AA"/>
      <name val="Roboto"/>
    </font>
    <font>
      <b/>
      <color theme="1"/>
      <name val="Arial"/>
    </font>
    <font>
      <b/>
      <color rgb="FF434343"/>
      <name val="Roboto"/>
    </font>
    <font>
      <color rgb="FFE5CFF2"/>
      <name val="Roboto"/>
    </font>
    <font>
      <color rgb="FFFFCFC9"/>
      <name val="Roboto"/>
    </font>
    <font>
      <color rgb="FFD4EDBC"/>
      <name val="Roboto"/>
    </font>
    <font>
      <color rgb="FFBFE0F6"/>
      <name val="Roboto"/>
    </font>
    <font>
      <color rgb="FFE5E5E5"/>
      <name val="Roboto"/>
    </font>
    <font>
      <b/>
      <color theme="1"/>
      <name val="Arial"/>
      <scheme val="minor"/>
    </font>
    <font>
      <color rgb="FFFFFFFF"/>
      <name val="Arial"/>
      <scheme val="minor"/>
    </font>
    <font>
      <b/>
      <color rgb="FFFFFFFF"/>
      <name val="Arial"/>
      <scheme val="minor"/>
    </font>
    <font>
      <color rgb="FFFF0000"/>
      <name val="Arial"/>
      <scheme val="minor"/>
    </font>
    <font>
      <sz val="30.0"/>
      <color theme="1"/>
      <name val="Arial"/>
      <scheme val="minor"/>
    </font>
  </fonts>
  <fills count="17">
    <fill>
      <patternFill patternType="none"/>
    </fill>
    <fill>
      <patternFill patternType="lightGray"/>
    </fill>
    <fill>
      <patternFill patternType="solid">
        <fgColor rgb="FF5B3F86"/>
        <bgColor rgb="FF5B3F86"/>
      </patternFill>
    </fill>
    <fill>
      <patternFill patternType="solid">
        <fgColor rgb="FFF6F8F9"/>
        <bgColor rgb="FFF6F8F9"/>
      </patternFill>
    </fill>
    <fill>
      <patternFill patternType="solid">
        <fgColor rgb="FFFFFFFF"/>
        <bgColor rgb="FFFFFFFF"/>
      </patternFill>
    </fill>
    <fill>
      <patternFill patternType="solid">
        <fgColor rgb="FFFFFF00"/>
        <bgColor rgb="FFFFFF00"/>
      </patternFill>
    </fill>
    <fill>
      <patternFill patternType="solid">
        <fgColor rgb="FF20124D"/>
        <bgColor rgb="FF20124D"/>
      </patternFill>
    </fill>
    <fill>
      <patternFill patternType="solid">
        <fgColor rgb="FF351C75"/>
        <bgColor rgb="FF351C75"/>
      </patternFill>
    </fill>
    <fill>
      <patternFill patternType="solid">
        <fgColor rgb="FF674EA7"/>
        <bgColor rgb="FF674EA7"/>
      </patternFill>
    </fill>
    <fill>
      <patternFill patternType="solid">
        <fgColor rgb="FF8E7CC3"/>
        <bgColor rgb="FF8E7CC3"/>
      </patternFill>
    </fill>
    <fill>
      <patternFill patternType="solid">
        <fgColor rgb="FF000000"/>
        <bgColor rgb="FF000000"/>
      </patternFill>
    </fill>
    <fill>
      <patternFill patternType="solid">
        <fgColor rgb="FF93C47D"/>
        <bgColor rgb="FF93C47D"/>
      </patternFill>
    </fill>
    <fill>
      <patternFill patternType="solid">
        <fgColor rgb="FFFFD966"/>
        <bgColor rgb="FFFFD966"/>
      </patternFill>
    </fill>
    <fill>
      <patternFill patternType="solid">
        <fgColor theme="5"/>
        <bgColor theme="5"/>
      </patternFill>
    </fill>
    <fill>
      <patternFill patternType="solid">
        <fgColor rgb="FF9900FF"/>
        <bgColor rgb="FF9900FF"/>
      </patternFill>
    </fill>
    <fill>
      <patternFill patternType="solid">
        <fgColor rgb="FFD0E0E3"/>
        <bgColor rgb="FFD0E0E3"/>
      </patternFill>
    </fill>
    <fill>
      <patternFill patternType="solid">
        <fgColor rgb="FFFCE5CD"/>
        <bgColor rgb="FFFCE5CD"/>
      </patternFill>
    </fill>
  </fills>
  <borders count="76">
    <border/>
    <border>
      <left style="thin">
        <color rgb="FF5B3F86"/>
      </left>
      <right style="thin">
        <color rgb="FF5B3F86"/>
      </right>
      <top style="thin">
        <color rgb="FF442F65"/>
      </top>
      <bottom style="thin">
        <color rgb="FF442F65"/>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442F65"/>
      </bottom>
    </border>
    <border>
      <left style="thin">
        <color rgb="FF000000"/>
      </left>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top style="thin">
        <color rgb="FF000000"/>
      </top>
      <bottom style="thin">
        <color rgb="FFFFFFFF"/>
      </bottom>
    </border>
    <border>
      <right style="thin">
        <color rgb="FFFFFFFF"/>
      </right>
      <top style="thin">
        <color rgb="FF000000"/>
      </top>
      <bottom style="thin">
        <color rgb="FFFFFFFF"/>
      </bottom>
    </border>
    <border>
      <left style="thin">
        <color rgb="FFFFFFFF"/>
      </left>
      <top style="thin">
        <color rgb="FF000000"/>
      </top>
    </border>
    <border>
      <left style="thin">
        <color rgb="FF000000"/>
      </left>
      <right style="thin">
        <color rgb="FFFFFFFF"/>
      </right>
      <top style="thin">
        <color rgb="FF000000"/>
      </top>
    </border>
    <border>
      <left style="thin">
        <color rgb="FFFFFFFF"/>
      </left>
      <right style="thin">
        <color rgb="FF000000"/>
      </right>
      <top style="thin">
        <color rgb="FF000000"/>
      </top>
      <bottom style="thin">
        <color rgb="FFFFFFFF"/>
      </bottom>
    </border>
    <border>
      <left style="thin">
        <color rgb="FF000000"/>
      </left>
      <right style="thin">
        <color rgb="FFF6F8F9"/>
      </right>
      <top style="thin">
        <color rgb="FFF6F8F9"/>
      </top>
      <bottom style="thin">
        <color rgb="FFF6F8F9"/>
      </bottom>
    </border>
    <border>
      <top style="thin">
        <color rgb="FFF6F8F9"/>
      </top>
      <bottom style="thin">
        <color rgb="FFF6F8F9"/>
      </bottom>
    </border>
    <border>
      <left style="thin">
        <color rgb="FF000000"/>
      </left>
    </border>
    <border>
      <right style="thin">
        <color rgb="FF000000"/>
      </right>
    </border>
    <border>
      <left style="thin">
        <color rgb="FFF6F8F9"/>
      </left>
      <right style="thin">
        <color rgb="FF000000"/>
      </right>
      <top style="thin">
        <color rgb="FFF6F8F9"/>
      </top>
      <bottom style="thin">
        <color rgb="FFF6F8F9"/>
      </bottom>
    </border>
    <border>
      <right style="thin">
        <color rgb="FFF6F8F9"/>
      </right>
      <top style="thin">
        <color rgb="FFF6F8F9"/>
      </top>
      <bottom style="thin">
        <color rgb="FFF6F8F9"/>
      </bottom>
    </border>
    <border>
      <left style="thin">
        <color rgb="FF000000"/>
      </left>
      <right style="thin">
        <color rgb="FFFFFFFF"/>
      </righ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border>
    <border>
      <left style="thin">
        <color rgb="FF000000"/>
      </left>
      <right style="thin">
        <color rgb="FFFFFFFF"/>
      </right>
    </border>
    <border>
      <left style="thin">
        <color rgb="FFFFFFFF"/>
      </left>
      <right style="thin">
        <color rgb="FF000000"/>
      </right>
      <top style="thin">
        <color rgb="FFFFFFFF"/>
      </top>
      <bottom style="thin">
        <color rgb="FFFFFFFF"/>
      </bottom>
    </border>
    <border>
      <left style="thin">
        <color rgb="FF000000"/>
      </left>
      <right style="thin">
        <color rgb="FFFFFFFF"/>
      </right>
      <top style="thin">
        <color rgb="FFFFFFFF"/>
      </top>
    </border>
    <border>
      <left style="thin">
        <color rgb="FFFFFFFF"/>
      </left>
      <right style="thin">
        <color rgb="FFFFFFFF"/>
      </right>
      <top style="thin">
        <color rgb="FFFFFFFF"/>
      </top>
    </border>
    <border>
      <top style="thin">
        <color rgb="FFFFFFFF"/>
      </top>
    </border>
    <border>
      <right style="thin">
        <color rgb="FFFFFFFF"/>
      </right>
      <top style="thin">
        <color rgb="FFFFFFFF"/>
      </top>
    </border>
    <border>
      <left style="thin">
        <color rgb="FFFFFFFF"/>
      </left>
      <right style="thin">
        <color rgb="FF000000"/>
      </right>
      <top style="thin">
        <color rgb="FFFFFFFF"/>
      </top>
    </border>
    <border>
      <left style="thin">
        <color rgb="FF442F65"/>
      </left>
      <right style="thin">
        <color rgb="FFFFFFFF"/>
      </right>
      <bottom style="thin">
        <color rgb="FFFFFFFF"/>
      </bottom>
    </border>
    <border>
      <left style="thin">
        <color rgb="FFFFFFFF"/>
      </left>
      <right style="thin">
        <color rgb="FFFFFFFF"/>
      </right>
      <bottom style="thin">
        <color rgb="FFFFFFFF"/>
      </bottom>
    </border>
    <border>
      <right style="thin">
        <color rgb="FFFFFFFF"/>
      </right>
      <bottom style="thin">
        <color rgb="FFFFFFFF"/>
      </bottom>
    </border>
    <border>
      <left style="thin">
        <color rgb="FFFFFFFF"/>
      </left>
      <bottom style="thin">
        <color rgb="FFFFFFFF"/>
      </bottom>
    </border>
    <border>
      <left style="thin">
        <color rgb="FF000000"/>
      </left>
      <right style="thin">
        <color rgb="FFFFFFFF"/>
      </right>
      <bottom style="thin">
        <color rgb="FFFFFFFF"/>
      </bottom>
    </border>
    <border>
      <left style="thin">
        <color rgb="FFFFFFFF"/>
      </left>
      <right style="thin">
        <color rgb="FF000000"/>
      </right>
      <bottom style="thin">
        <color rgb="FFFFFFFF"/>
      </bottom>
    </border>
    <border>
      <left style="thin">
        <color rgb="FF442F65"/>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442F65"/>
      </left>
      <right style="thin">
        <color rgb="FFF6F8F9"/>
      </right>
      <top style="thin">
        <color rgb="FFF6F8F9"/>
      </top>
      <bottom style="thin">
        <color rgb="FFF6F8F9"/>
      </bottom>
    </border>
    <border>
      <left style="thin">
        <color rgb="FFF6F8F9"/>
      </left>
      <top style="thin">
        <color rgb="FFF6F8F9"/>
      </top>
      <bottom style="thin">
        <color rgb="FFF6F8F9"/>
      </bottom>
    </border>
    <border>
      <left style="thin">
        <color rgb="FF442F65"/>
      </left>
    </border>
    <border>
      <top style="thick">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left style="thin">
        <color rgb="FF000000"/>
      </left>
      <right style="thin">
        <color rgb="FF000000"/>
      </right>
    </border>
    <border>
      <left style="thick">
        <color rgb="FF000000"/>
      </left>
      <right style="thin">
        <color rgb="FF000000"/>
      </right>
    </border>
    <border>
      <left style="thin">
        <color rgb="FF000000"/>
      </left>
      <right style="thick">
        <color rgb="FF000000"/>
      </right>
    </border>
    <border>
      <left style="thick">
        <color rgb="FF000000"/>
      </left>
    </border>
    <border>
      <left style="thick">
        <color rgb="FF000000"/>
      </left>
      <bottom style="thick">
        <color rgb="FF000000"/>
      </bottom>
    </border>
    <border>
      <left style="thin">
        <color rgb="FF000000"/>
      </left>
      <right style="thin">
        <color rgb="FF000000"/>
      </right>
      <bottom style="thick">
        <color rgb="FF000000"/>
      </bottom>
    </border>
    <border>
      <left style="thick">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000000"/>
      </left>
      <right style="thin">
        <color rgb="FF000000"/>
      </right>
      <top style="thick">
        <color rgb="FF000000"/>
      </top>
    </border>
    <border>
      <left style="thick">
        <color rgb="FF000000"/>
      </left>
      <right style="thin">
        <color rgb="FF000000"/>
      </right>
      <top style="thick">
        <color rgb="FF000000"/>
      </top>
    </border>
    <border>
      <left style="thin">
        <color rgb="FF000000"/>
      </left>
      <right style="thick">
        <color rgb="FF000000"/>
      </right>
      <top style="thick">
        <color rgb="FF000000"/>
      </top>
    </border>
    <border>
      <left style="thick">
        <color rgb="FF000000"/>
      </left>
      <right style="thick">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thick">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ck">
        <color rgb="FF000000"/>
      </left>
      <right style="thick">
        <color rgb="FF000000"/>
      </right>
      <top style="thick">
        <color rgb="FF000000"/>
      </top>
    </border>
    <border>
      <top style="thick">
        <color rgb="FF000000"/>
      </top>
    </border>
    <border>
      <right style="thick">
        <color rgb="FF000000"/>
      </right>
      <top style="thick">
        <color rgb="FF000000"/>
      </top>
    </border>
    <border>
      <left style="thin">
        <color rgb="FFFFFFFF"/>
      </left>
      <right style="thin">
        <color rgb="FF442F65"/>
      </right>
      <top style="thin">
        <color rgb="FFFFFFFF"/>
      </top>
      <bottom style="thin">
        <color rgb="FFFFFFFF"/>
      </bottom>
    </border>
    <border>
      <left style="thin">
        <color rgb="FFF6F8F9"/>
      </left>
      <right style="thin">
        <color rgb="FF442F65"/>
      </right>
      <top style="thin">
        <color rgb="FFF6F8F9"/>
      </top>
      <bottom style="thin">
        <color rgb="FFF6F8F9"/>
      </bottom>
    </border>
    <border>
      <left style="thin">
        <color rgb="FF442F65"/>
      </left>
      <right style="thin">
        <color rgb="FFFFFF00"/>
      </right>
      <top style="thin">
        <color rgb="FFFFFF00"/>
      </top>
      <bottom style="thin">
        <color rgb="FF442F65"/>
      </bottom>
    </border>
    <border>
      <left style="thin">
        <color rgb="FFF6F8F9"/>
      </left>
      <right style="thin">
        <color rgb="FFF6F8F9"/>
      </right>
      <top style="thin">
        <color rgb="FFF6F8F9"/>
      </top>
      <bottom style="thin">
        <color rgb="FF442F65"/>
      </bottom>
    </border>
    <border>
      <left style="thin">
        <color rgb="FFF6F8F9"/>
      </left>
      <right style="thin">
        <color rgb="FF442F65"/>
      </right>
      <top style="thin">
        <color rgb="FFF6F8F9"/>
      </top>
      <bottom style="thin">
        <color rgb="FF442F65"/>
      </bottom>
    </border>
  </borders>
  <cellStyleXfs count="1">
    <xf borderId="0" fillId="0" fontId="0" numFmtId="0" applyAlignment="1" applyFont="1"/>
  </cellStyleXfs>
  <cellXfs count="327">
    <xf borderId="0" fillId="0" fontId="0" numFmtId="0" xfId="0" applyAlignment="1" applyFont="1">
      <alignment readingOrder="0" shrinkToFit="0" vertical="bottom" wrapText="0"/>
    </xf>
    <xf borderId="0" fillId="0" fontId="1"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1" fillId="2" fontId="3" numFmtId="0" xfId="0" applyAlignment="1" applyBorder="1" applyFill="1" applyFont="1">
      <alignment horizontal="left" readingOrder="0" shrinkToFit="0" vertical="center" wrapText="1"/>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49" xfId="0" applyAlignment="1" applyFont="1" applyNumberFormat="1">
      <alignment readingOrder="0" shrinkToFit="0" vertical="center" wrapText="0"/>
    </xf>
    <xf borderId="0" fillId="0" fontId="1" numFmtId="0" xfId="0" applyAlignment="1" applyFont="1">
      <alignment readingOrder="0" shrinkToFit="0" vertical="center" wrapText="0"/>
    </xf>
    <xf borderId="2" fillId="3" fontId="5" numFmtId="164" xfId="0" applyAlignment="1" applyBorder="1" applyFill="1" applyFont="1" applyNumberFormat="1">
      <alignment readingOrder="0" shrinkToFit="0" vertical="center" wrapText="0"/>
    </xf>
    <xf borderId="2" fillId="3" fontId="5" numFmtId="165" xfId="0" applyAlignment="1" applyBorder="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49" xfId="0" applyAlignment="1" applyFont="1" applyNumberFormat="1">
      <alignment shrinkToFit="0" vertical="center" wrapText="0"/>
    </xf>
    <xf borderId="0" fillId="0" fontId="6" numFmtId="0" xfId="0" applyAlignment="1" applyFont="1">
      <alignment readingOrder="0" shrinkToFit="0" vertical="center" wrapText="0"/>
    </xf>
    <xf borderId="0" fillId="0" fontId="1" numFmtId="0" xfId="0" applyAlignment="1" applyFont="1">
      <alignment readingOrder="0" shrinkToFit="0" vertical="center" wrapText="0"/>
    </xf>
    <xf borderId="0" fillId="3" fontId="5" numFmtId="164" xfId="0" applyAlignment="1" applyFont="1" applyNumberFormat="1">
      <alignment readingOrder="0" shrinkToFit="0" vertical="center" wrapText="0"/>
    </xf>
    <xf borderId="2" fillId="0" fontId="1" numFmtId="165" xfId="0" applyAlignment="1" applyBorder="1" applyFont="1" applyNumberFormat="1">
      <alignment readingOrder="0" shrinkToFit="0" vertical="center" wrapText="0"/>
    </xf>
    <xf borderId="3" fillId="3" fontId="5" numFmtId="164" xfId="0" applyAlignment="1" applyBorder="1" applyFont="1" applyNumberFormat="1">
      <alignment shrinkToFit="0" vertical="center" wrapText="0"/>
    </xf>
    <xf borderId="2" fillId="4" fontId="5" numFmtId="164" xfId="0" applyAlignment="1" applyBorder="1" applyFill="1" applyFont="1" applyNumberFormat="1">
      <alignment readingOrder="0" shrinkToFit="0" vertical="center" wrapText="0"/>
    </xf>
    <xf borderId="2" fillId="3" fontId="7" numFmtId="164" xfId="0" applyAlignment="1" applyBorder="1" applyFont="1" applyNumberFormat="1">
      <alignment shrinkToFit="0" vertical="center" wrapText="0"/>
    </xf>
    <xf borderId="3" fillId="4" fontId="5" numFmtId="164" xfId="0" applyAlignment="1" applyBorder="1" applyFont="1" applyNumberFormat="1">
      <alignment readingOrder="0" shrinkToFit="0" vertical="center" wrapText="0"/>
    </xf>
    <xf borderId="3" fillId="4" fontId="8" numFmtId="164" xfId="0" applyAlignment="1" applyBorder="1" applyFont="1" applyNumberFormat="1">
      <alignment shrinkToFit="0" vertical="center" wrapText="0"/>
    </xf>
    <xf borderId="3" fillId="3" fontId="5" numFmtId="0" xfId="0" applyAlignment="1" applyBorder="1" applyFont="1">
      <alignment readingOrder="0" shrinkToFit="0" vertical="center" wrapText="0"/>
    </xf>
    <xf borderId="2" fillId="4" fontId="5" numFmtId="165" xfId="0" applyAlignment="1" applyBorder="1" applyFont="1" applyNumberFormat="1">
      <alignment readingOrder="0" shrinkToFit="0" vertical="center" wrapText="0"/>
    </xf>
    <xf borderId="0" fillId="4" fontId="5" numFmtId="164" xfId="0" applyAlignment="1" applyFont="1" applyNumberFormat="1">
      <alignment shrinkToFit="0" vertical="center" wrapText="0"/>
    </xf>
    <xf borderId="0" fillId="0" fontId="1" numFmtId="164" xfId="0" applyAlignment="1" applyFont="1" applyNumberFormat="1">
      <alignment shrinkToFit="0" vertical="center" wrapText="0"/>
    </xf>
    <xf borderId="2" fillId="4" fontId="5" numFmtId="164" xfId="0" applyAlignment="1" applyBorder="1" applyFont="1" applyNumberFormat="1">
      <alignment shrinkToFit="0" vertical="center" wrapText="0"/>
    </xf>
    <xf borderId="0" fillId="3" fontId="5" numFmtId="0" xfId="0" applyAlignment="1" applyFont="1">
      <alignment readingOrder="0" shrinkToFit="0" vertical="center" wrapText="0"/>
    </xf>
    <xf borderId="3" fillId="4" fontId="7" numFmtId="164" xfId="0" applyAlignment="1" applyBorder="1" applyFont="1" applyNumberFormat="1">
      <alignment shrinkToFit="0" vertical="center" wrapText="0"/>
    </xf>
    <xf borderId="0" fillId="5" fontId="1" numFmtId="0" xfId="0" applyAlignment="1" applyFill="1" applyFont="1">
      <alignment readingOrder="0" shrinkToFit="0" vertical="center" wrapText="0"/>
    </xf>
    <xf borderId="0" fillId="5" fontId="1" numFmtId="0" xfId="0" applyAlignment="1" applyFont="1">
      <alignment readingOrder="0" shrinkToFit="0" vertical="center" wrapText="0"/>
    </xf>
    <xf borderId="0" fillId="5" fontId="9" numFmtId="0" xfId="0" applyAlignment="1" applyFont="1">
      <alignment readingOrder="0" shrinkToFit="0" vertical="center" wrapText="0"/>
    </xf>
    <xf borderId="3" fillId="5" fontId="5" numFmtId="164" xfId="0" applyAlignment="1" applyBorder="1" applyFont="1" applyNumberFormat="1">
      <alignment readingOrder="0" shrinkToFit="0" vertical="center" wrapText="0"/>
    </xf>
    <xf borderId="2" fillId="5" fontId="5" numFmtId="165" xfId="0" applyAlignment="1" applyBorder="1" applyFont="1" applyNumberFormat="1">
      <alignment readingOrder="0" shrinkToFit="0" vertical="center" wrapText="0"/>
    </xf>
    <xf borderId="0" fillId="5" fontId="1" numFmtId="164" xfId="0" applyAlignment="1" applyFont="1" applyNumberFormat="1">
      <alignment readingOrder="0" shrinkToFit="0" vertical="center" wrapText="0"/>
    </xf>
    <xf borderId="2" fillId="5" fontId="7" numFmtId="164" xfId="0" applyAlignment="1" applyBorder="1" applyFont="1" applyNumberFormat="1">
      <alignment readingOrder="0" shrinkToFit="0" vertical="center" wrapText="0"/>
    </xf>
    <xf borderId="0" fillId="5" fontId="1" numFmtId="49" xfId="0" applyAlignment="1" applyFont="1" applyNumberFormat="1">
      <alignment readingOrder="0" shrinkToFit="0" vertical="center" wrapText="0"/>
    </xf>
    <xf borderId="2" fillId="5" fontId="5" numFmtId="164" xfId="0" applyAlignment="1" applyBorder="1" applyFont="1" applyNumberFormat="1">
      <alignment readingOrder="0" shrinkToFit="0" vertical="center" wrapText="0"/>
    </xf>
    <xf borderId="2" fillId="5" fontId="7" numFmtId="164" xfId="0" applyAlignment="1" applyBorder="1" applyFont="1" applyNumberFormat="1">
      <alignment shrinkToFit="0" vertical="center" wrapText="0"/>
    </xf>
    <xf borderId="0" fillId="4" fontId="5" numFmtId="164" xfId="0" applyAlignment="1" applyFont="1" applyNumberFormat="1">
      <alignment readingOrder="0" shrinkToFit="0" vertical="center" wrapText="0"/>
    </xf>
    <xf borderId="0" fillId="5" fontId="10" numFmtId="49" xfId="0" applyAlignment="1" applyFont="1" applyNumberFormat="1">
      <alignment readingOrder="0" shrinkToFit="0" vertical="center" wrapText="0"/>
    </xf>
    <xf borderId="0" fillId="5" fontId="5" numFmtId="164" xfId="0" applyAlignment="1" applyFont="1" applyNumberFormat="1">
      <alignment readingOrder="0" shrinkToFit="0" vertical="center" wrapText="0"/>
    </xf>
    <xf borderId="3" fillId="5" fontId="5" numFmtId="164" xfId="0" applyAlignment="1" applyBorder="1" applyFont="1" applyNumberFormat="1">
      <alignment shrinkToFit="0" vertical="center" wrapText="0"/>
    </xf>
    <xf borderId="0" fillId="0" fontId="1" numFmtId="49" xfId="0" applyAlignment="1" applyFont="1" applyNumberFormat="1">
      <alignment readingOrder="0" shrinkToFit="0" vertical="center" wrapText="0"/>
    </xf>
    <xf borderId="0" fillId="3" fontId="5" numFmtId="165" xfId="0" applyAlignment="1" applyFont="1" applyNumberFormat="1">
      <alignment readingOrder="0" shrinkToFit="0" vertical="center" wrapText="0"/>
    </xf>
    <xf borderId="2" fillId="3" fontId="5" numFmtId="0" xfId="0" applyAlignment="1" applyBorder="1" applyFont="1">
      <alignment readingOrder="0" shrinkToFit="0" vertical="center" wrapText="0"/>
    </xf>
    <xf borderId="2" fillId="4" fontId="7" numFmtId="164" xfId="0" applyAlignment="1" applyBorder="1" applyFont="1" applyNumberFormat="1">
      <alignment shrinkToFit="0" vertical="center" wrapText="0"/>
    </xf>
    <xf borderId="2" fillId="3" fontId="5" numFmtId="164" xfId="0" applyAlignment="1" applyBorder="1" applyFont="1" applyNumberFormat="1">
      <alignment shrinkToFit="0" vertical="center" wrapText="0"/>
    </xf>
    <xf borderId="3" fillId="3" fontId="5" numFmtId="164" xfId="0" applyAlignment="1" applyBorder="1" applyFont="1" applyNumberFormat="1">
      <alignment readingOrder="0" shrinkToFit="0" vertical="center" wrapText="0"/>
    </xf>
    <xf borderId="3" fillId="4" fontId="5" numFmtId="164" xfId="0" applyAlignment="1" applyBorder="1" applyFont="1" applyNumberFormat="1">
      <alignment shrinkToFit="0" vertical="center" wrapText="0"/>
    </xf>
    <xf borderId="3" fillId="0" fontId="5" numFmtId="164" xfId="0" applyAlignment="1" applyBorder="1" applyFont="1" applyNumberFormat="1">
      <alignment readingOrder="0" shrinkToFit="0" vertical="center" wrapText="0"/>
    </xf>
    <xf borderId="2" fillId="4" fontId="7" numFmtId="164" xfId="0" applyAlignment="1" applyBorder="1" applyFont="1" applyNumberFormat="1">
      <alignment readingOrder="0" shrinkToFit="0" vertical="center" wrapText="0"/>
    </xf>
    <xf borderId="0" fillId="5" fontId="5" numFmtId="165" xfId="0" applyAlignment="1" applyFont="1" applyNumberFormat="1">
      <alignment readingOrder="0" shrinkToFit="0" vertical="center" wrapText="0"/>
    </xf>
    <xf borderId="0" fillId="5" fontId="1" numFmtId="164" xfId="0" applyAlignment="1" applyFont="1" applyNumberFormat="1">
      <alignment shrinkToFit="0" vertical="center" wrapText="0"/>
    </xf>
    <xf borderId="0" fillId="5" fontId="1" numFmtId="49" xfId="0" applyAlignment="1" applyFont="1" applyNumberFormat="1">
      <alignment shrinkToFit="0" vertical="center" wrapText="0"/>
    </xf>
    <xf borderId="3" fillId="3" fontId="7" numFmtId="164" xfId="0" applyAlignment="1" applyBorder="1" applyFont="1" applyNumberFormat="1">
      <alignment shrinkToFit="0" vertical="center" wrapText="0"/>
    </xf>
    <xf borderId="0" fillId="4" fontId="5" numFmtId="165" xfId="0" applyAlignment="1" applyFont="1" applyNumberFormat="1">
      <alignment readingOrder="0" shrinkToFit="0" vertical="center" wrapText="0"/>
    </xf>
    <xf borderId="2" fillId="0" fontId="1" numFmtId="164" xfId="0" applyAlignment="1" applyBorder="1" applyFont="1" applyNumberFormat="1">
      <alignment readingOrder="0" shrinkToFit="0" vertical="center" wrapText="0"/>
    </xf>
    <xf borderId="3" fillId="3" fontId="7" numFmtId="164" xfId="0" applyAlignment="1" applyBorder="1" applyFont="1" applyNumberFormat="1">
      <alignment readingOrder="0" shrinkToFit="0" vertical="center" wrapText="0"/>
    </xf>
    <xf borderId="0" fillId="5" fontId="7" numFmtId="164" xfId="0" applyAlignment="1" applyFont="1" applyNumberFormat="1">
      <alignment shrinkToFit="0" vertical="center" wrapText="0"/>
    </xf>
    <xf borderId="2" fillId="0" fontId="5" numFmtId="165" xfId="0" applyAlignment="1" applyBorder="1" applyFont="1" applyNumberFormat="1">
      <alignment readingOrder="0" shrinkToFit="0" vertical="center" wrapText="0"/>
    </xf>
    <xf borderId="0" fillId="3" fontId="5" numFmtId="164" xfId="0" applyAlignment="1" applyFont="1" applyNumberFormat="1">
      <alignment shrinkToFit="0" vertical="center" wrapText="0"/>
    </xf>
    <xf borderId="3" fillId="3" fontId="5" numFmtId="165" xfId="0" applyAlignment="1" applyBorder="1" applyFont="1" applyNumberFormat="1">
      <alignment readingOrder="0" shrinkToFit="0" vertical="center" wrapText="0"/>
    </xf>
    <xf borderId="0" fillId="0" fontId="1" numFmtId="165" xfId="0" applyAlignment="1" applyFont="1" applyNumberFormat="1">
      <alignment readingOrder="0" shrinkToFit="0" vertical="center" wrapText="0"/>
    </xf>
    <xf borderId="0" fillId="4" fontId="7" numFmtId="164" xfId="0" applyAlignment="1" applyFont="1" applyNumberFormat="1">
      <alignment shrinkToFit="0" vertical="center" wrapText="0"/>
    </xf>
    <xf borderId="0" fillId="0" fontId="11" numFmtId="49" xfId="0" applyAlignment="1" applyFont="1" applyNumberFormat="1">
      <alignment readingOrder="0" shrinkToFit="0" vertical="center" wrapText="0"/>
    </xf>
    <xf borderId="4" fillId="3" fontId="5" numFmtId="164" xfId="0" applyAlignment="1" applyBorder="1" applyFont="1" applyNumberFormat="1">
      <alignment shrinkToFit="0" vertical="center" wrapText="0"/>
    </xf>
    <xf borderId="0" fillId="0" fontId="12" numFmtId="49" xfId="0" applyAlignment="1" applyFont="1" applyNumberFormat="1">
      <alignment horizontal="left" readingOrder="0" shrinkToFit="0" vertical="center" wrapText="1"/>
    </xf>
    <xf borderId="0" fillId="0" fontId="12"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12" numFmtId="49" xfId="0" applyAlignment="1" applyFont="1" applyNumberFormat="1">
      <alignment horizontal="left" readingOrder="0" shrinkToFit="0" vertical="center" wrapText="1"/>
    </xf>
    <xf borderId="5" fillId="3" fontId="7" numFmtId="49" xfId="0" applyAlignment="1" applyBorder="1" applyFont="1" applyNumberFormat="1">
      <alignment shrinkToFit="0" vertical="center" wrapText="0"/>
    </xf>
    <xf borderId="6" fillId="3" fontId="13" numFmtId="0" xfId="0" applyAlignment="1" applyBorder="1" applyFont="1">
      <alignment shrinkToFit="0" vertical="center" wrapText="0"/>
    </xf>
    <xf borderId="2" fillId="3" fontId="7" numFmtId="1" xfId="0" applyAlignment="1" applyBorder="1" applyFont="1" applyNumberFormat="1">
      <alignment readingOrder="0" shrinkToFit="0" vertical="center" wrapText="0"/>
    </xf>
    <xf borderId="7" fillId="3" fontId="7" numFmtId="1" xfId="0" applyAlignment="1" applyBorder="1" applyFont="1" applyNumberFormat="1">
      <alignment readingOrder="0" shrinkToFit="0" vertical="center" wrapText="0"/>
    </xf>
    <xf borderId="8" fillId="3" fontId="14" numFmtId="1" xfId="0" applyAlignment="1" applyBorder="1" applyFont="1" applyNumberFormat="1">
      <alignment shrinkToFit="0" vertical="center" wrapText="0"/>
    </xf>
    <xf borderId="9" fillId="3" fontId="7" numFmtId="0" xfId="0" applyAlignment="1" applyBorder="1" applyFont="1">
      <alignment readingOrder="0" shrinkToFit="0" vertical="center" wrapText="0"/>
    </xf>
    <xf borderId="10" fillId="3" fontId="7" numFmtId="0" xfId="0" applyAlignment="1" applyBorder="1" applyFont="1">
      <alignment readingOrder="0" shrinkToFit="0" vertical="center" wrapText="0"/>
    </xf>
    <xf borderId="11" fillId="3" fontId="7" numFmtId="1" xfId="0" applyAlignment="1" applyBorder="1" applyFont="1" applyNumberFormat="1">
      <alignment readingOrder="0" shrinkToFit="0" vertical="center" wrapText="0"/>
    </xf>
    <xf borderId="12" fillId="3" fontId="7" numFmtId="0" xfId="0" applyAlignment="1" applyBorder="1" applyFont="1">
      <alignment readingOrder="0" shrinkToFit="0" vertical="center" wrapText="0"/>
    </xf>
    <xf borderId="13" fillId="3" fontId="15" numFmtId="0" xfId="0" applyAlignment="1" applyBorder="1" applyFont="1">
      <alignment readingOrder="0" shrinkToFit="0" vertical="center" wrapText="0"/>
    </xf>
    <xf borderId="14" fillId="3" fontId="15" numFmtId="1" xfId="0" applyAlignment="1" applyBorder="1" applyFont="1" applyNumberFormat="1">
      <alignment readingOrder="0" shrinkToFit="0" vertical="center" wrapText="0"/>
    </xf>
    <xf borderId="15" fillId="3" fontId="14" numFmtId="0" xfId="0" applyAlignment="1" applyBorder="1" applyFont="1">
      <alignment readingOrder="0" shrinkToFit="0" vertical="center" wrapText="0"/>
    </xf>
    <xf borderId="0" fillId="4" fontId="5" numFmtId="0" xfId="0" applyAlignment="1" applyFont="1">
      <alignment readingOrder="0" shrinkToFit="0" vertical="center" wrapText="0"/>
    </xf>
    <xf borderId="6" fillId="3" fontId="14" numFmtId="0" xfId="0" applyAlignment="1" applyBorder="1" applyFont="1">
      <alignment readingOrder="0" shrinkToFit="0" vertical="center" wrapText="0"/>
    </xf>
    <xf borderId="16" fillId="4" fontId="7" numFmtId="49" xfId="0" applyAlignment="1" applyBorder="1" applyFont="1" applyNumberFormat="1">
      <alignment shrinkToFit="0" vertical="center" wrapText="0"/>
    </xf>
    <xf borderId="3" fillId="4" fontId="13" numFmtId="0" xfId="0" applyAlignment="1" applyBorder="1" applyFont="1">
      <alignment shrinkToFit="0" vertical="center" wrapText="0"/>
    </xf>
    <xf borderId="2" fillId="4" fontId="5" numFmtId="0" xfId="0" applyAlignment="1" applyBorder="1" applyFont="1">
      <alignment readingOrder="0" shrinkToFit="0" vertical="center" wrapText="0"/>
    </xf>
    <xf borderId="17" fillId="4" fontId="5" numFmtId="1" xfId="0" applyAlignment="1" applyBorder="1" applyFont="1" applyNumberFormat="1">
      <alignment readingOrder="0" shrinkToFit="0" vertical="center" wrapText="0"/>
    </xf>
    <xf borderId="18" fillId="3" fontId="14" numFmtId="1" xfId="0" applyAlignment="1" applyBorder="1" applyFont="1" applyNumberFormat="1">
      <alignment shrinkToFit="0" vertical="center" wrapText="0"/>
    </xf>
    <xf borderId="0" fillId="4" fontId="5" numFmtId="0" xfId="0" applyAlignment="1" applyFont="1">
      <alignment readingOrder="0" shrinkToFit="0" vertical="center" wrapText="0"/>
    </xf>
    <xf borderId="19" fillId="4" fontId="5" numFmtId="0" xfId="0" applyAlignment="1" applyBorder="1" applyFont="1">
      <alignment readingOrder="0" shrinkToFit="0" vertical="center" wrapText="0"/>
    </xf>
    <xf borderId="17" fillId="4" fontId="7" numFmtId="1" xfId="0" applyAlignment="1" applyBorder="1" applyFont="1" applyNumberFormat="1">
      <alignment readingOrder="0" shrinkToFit="0" vertical="center" wrapText="0"/>
    </xf>
    <xf borderId="17" fillId="3" fontId="7" numFmtId="0" xfId="0" applyAlignment="1" applyBorder="1" applyFont="1">
      <alignment readingOrder="0" shrinkToFit="0" vertical="center" wrapText="0"/>
    </xf>
    <xf borderId="0" fillId="3" fontId="14" numFmtId="0" xfId="0" applyAlignment="1" applyFont="1">
      <alignment readingOrder="0" shrinkToFit="0" vertical="center" wrapText="0"/>
    </xf>
    <xf borderId="20" fillId="4" fontId="14" numFmtId="0" xfId="0" applyAlignment="1" applyBorder="1" applyFont="1">
      <alignment readingOrder="0" shrinkToFit="0" vertical="center" wrapText="0"/>
    </xf>
    <xf borderId="21" fillId="4" fontId="5" numFmtId="0" xfId="0" applyAlignment="1" applyBorder="1" applyFont="1">
      <alignment readingOrder="0" shrinkToFit="0" vertical="center" wrapText="0"/>
    </xf>
    <xf borderId="3" fillId="4" fontId="14" numFmtId="0" xfId="0" applyAlignment="1" applyBorder="1" applyFont="1">
      <alignment readingOrder="0" shrinkToFit="0" vertical="center" wrapText="0"/>
    </xf>
    <xf borderId="22" fillId="4" fontId="7" numFmtId="49" xfId="0" applyAlignment="1" applyBorder="1" applyFont="1" applyNumberFormat="1">
      <alignment shrinkToFit="0" vertical="center" wrapText="0"/>
    </xf>
    <xf borderId="2" fillId="4" fontId="13" numFmtId="0" xfId="0" applyAlignment="1" applyBorder="1" applyFont="1">
      <alignment shrinkToFit="0" vertical="center" wrapText="0"/>
    </xf>
    <xf borderId="23" fillId="4" fontId="5" numFmtId="1" xfId="0" applyAlignment="1" applyBorder="1" applyFont="1" applyNumberFormat="1">
      <alignment readingOrder="0" shrinkToFit="0" vertical="center" wrapText="0"/>
    </xf>
    <xf borderId="23" fillId="4" fontId="7" numFmtId="1" xfId="0" applyAlignment="1" applyBorder="1" applyFont="1" applyNumberFormat="1">
      <alignment readingOrder="0" shrinkToFit="0" vertical="center" wrapText="0"/>
    </xf>
    <xf borderId="24" fillId="4" fontId="5" numFmtId="0" xfId="0" applyAlignment="1" applyBorder="1" applyFont="1">
      <alignment readingOrder="0" shrinkToFit="0" vertical="center" wrapText="0"/>
    </xf>
    <xf borderId="25" fillId="4" fontId="14" numFmtId="0" xfId="0" applyAlignment="1" applyBorder="1" applyFont="1">
      <alignment readingOrder="0" shrinkToFit="0" vertical="center" wrapText="0"/>
    </xf>
    <xf borderId="26" fillId="4" fontId="14" numFmtId="1" xfId="0" applyAlignment="1" applyBorder="1" applyFont="1" applyNumberFormat="1">
      <alignment shrinkToFit="0" vertical="center" wrapText="0"/>
    </xf>
    <xf borderId="27" fillId="4" fontId="14" numFmtId="0" xfId="0" applyAlignment="1" applyBorder="1" applyFont="1">
      <alignment readingOrder="0" shrinkToFit="0" vertical="center" wrapText="0"/>
    </xf>
    <xf borderId="2" fillId="4" fontId="14" numFmtId="0" xfId="0" applyAlignment="1" applyBorder="1" applyFont="1">
      <alignment readingOrder="0" shrinkToFit="0" vertical="center" wrapText="0"/>
    </xf>
    <xf borderId="16" fillId="3" fontId="7" numFmtId="49" xfId="0" applyAlignment="1" applyBorder="1" applyFont="1" applyNumberFormat="1">
      <alignment shrinkToFit="0" vertical="center" wrapText="0"/>
    </xf>
    <xf borderId="3" fillId="3" fontId="13" numFmtId="0" xfId="0" applyAlignment="1" applyBorder="1" applyFont="1">
      <alignment shrinkToFit="0" vertical="center" wrapText="0"/>
    </xf>
    <xf borderId="2" fillId="4" fontId="5" numFmtId="1" xfId="0" applyAlignment="1" applyBorder="1" applyFont="1" applyNumberFormat="1">
      <alignment readingOrder="0" shrinkToFit="0" vertical="center" wrapText="0"/>
    </xf>
    <xf borderId="17" fillId="3" fontId="7" numFmtId="1" xfId="0" applyAlignment="1" applyBorder="1" applyFont="1" applyNumberFormat="1">
      <alignment readingOrder="0" shrinkToFit="0" vertical="center" wrapText="0"/>
    </xf>
    <xf borderId="0" fillId="3" fontId="7" numFmtId="0" xfId="0" applyAlignment="1" applyFont="1">
      <alignment readingOrder="0" shrinkToFit="0" vertical="center" wrapText="0"/>
    </xf>
    <xf borderId="19" fillId="3" fontId="7" numFmtId="0" xfId="0" applyAlignment="1" applyBorder="1" applyFont="1">
      <alignment readingOrder="0" shrinkToFit="0" vertical="center" wrapText="0"/>
    </xf>
    <xf borderId="23" fillId="3" fontId="7" numFmtId="0" xfId="0" applyAlignment="1" applyBorder="1" applyFont="1">
      <alignment readingOrder="0" shrinkToFit="0" vertical="center" wrapText="0"/>
    </xf>
    <xf borderId="20" fillId="3" fontId="14" numFmtId="0" xfId="0" applyAlignment="1" applyBorder="1" applyFont="1">
      <alignment readingOrder="0" shrinkToFit="0" vertical="center" wrapText="0"/>
    </xf>
    <xf borderId="24" fillId="3" fontId="7" numFmtId="0" xfId="0" applyAlignment="1" applyBorder="1" applyFont="1">
      <alignment readingOrder="0" shrinkToFit="0" vertical="center" wrapText="0"/>
    </xf>
    <xf borderId="3" fillId="3" fontId="14" numFmtId="0" xfId="0" applyAlignment="1" applyBorder="1" applyFont="1">
      <alignment readingOrder="0" shrinkToFit="0" vertical="center" wrapText="0"/>
    </xf>
    <xf borderId="28" fillId="3" fontId="7" numFmtId="49" xfId="0" applyAlignment="1" applyBorder="1" applyFont="1" applyNumberFormat="1">
      <alignment shrinkToFit="0" vertical="center" wrapText="0"/>
    </xf>
    <xf borderId="29" fillId="3" fontId="13" numFmtId="0" xfId="0" applyAlignment="1" applyBorder="1" applyFont="1">
      <alignment shrinkToFit="0" vertical="center" wrapText="0"/>
    </xf>
    <xf borderId="29" fillId="4" fontId="5" numFmtId="1" xfId="0" applyAlignment="1" applyBorder="1" applyFont="1" applyNumberFormat="1">
      <alignment readingOrder="0" shrinkToFit="0" vertical="center" wrapText="0"/>
    </xf>
    <xf borderId="30" fillId="3" fontId="5" numFmtId="1" xfId="0" applyAlignment="1" applyBorder="1" applyFont="1" applyNumberFormat="1">
      <alignment readingOrder="0" shrinkToFit="0" vertical="center" wrapText="0"/>
    </xf>
    <xf borderId="0" fillId="3" fontId="5" numFmtId="0" xfId="0" applyAlignment="1" applyFont="1">
      <alignment readingOrder="0" shrinkToFit="0" vertical="center" wrapText="0"/>
    </xf>
    <xf borderId="19" fillId="3" fontId="5" numFmtId="0" xfId="0" applyAlignment="1" applyBorder="1" applyFont="1">
      <alignment readingOrder="0" shrinkToFit="0" vertical="center" wrapText="0"/>
    </xf>
    <xf borderId="30" fillId="3" fontId="7" numFmtId="1" xfId="0" applyAlignment="1" applyBorder="1" applyFont="1" applyNumberFormat="1">
      <alignment readingOrder="0" shrinkToFit="0" vertical="center" wrapText="0"/>
    </xf>
    <xf borderId="31" fillId="3" fontId="5" numFmtId="0" xfId="0" applyAlignment="1" applyBorder="1" applyFont="1">
      <alignment readingOrder="0" shrinkToFit="0" vertical="center" wrapText="0"/>
    </xf>
    <xf borderId="25" fillId="3" fontId="14" numFmtId="0" xfId="0" applyAlignment="1" applyBorder="1" applyFont="1">
      <alignment readingOrder="0" shrinkToFit="0" vertical="center" wrapText="0"/>
    </xf>
    <xf borderId="26" fillId="3" fontId="14" numFmtId="1" xfId="0" applyAlignment="1" applyBorder="1" applyFont="1" applyNumberFormat="1">
      <alignment shrinkToFit="0" vertical="center" wrapText="0"/>
    </xf>
    <xf borderId="32" fillId="3" fontId="14" numFmtId="0" xfId="0" applyAlignment="1" applyBorder="1" applyFont="1">
      <alignment readingOrder="0" shrinkToFit="0" vertical="center" wrapText="0"/>
    </xf>
    <xf borderId="29" fillId="3" fontId="14" numFmtId="0" xfId="0" applyAlignment="1" applyBorder="1" applyFont="1">
      <alignment readingOrder="0" shrinkToFit="0" vertical="center" wrapText="0"/>
    </xf>
    <xf borderId="0" fillId="4" fontId="7" numFmtId="49" xfId="0" applyAlignment="1" applyFont="1" applyNumberFormat="1">
      <alignment shrinkToFit="0" vertical="center" wrapText="0"/>
    </xf>
    <xf borderId="0" fillId="4" fontId="13" numFmtId="0" xfId="0" applyAlignment="1" applyFont="1">
      <alignment shrinkToFit="0" vertical="center" wrapText="0"/>
    </xf>
    <xf borderId="0" fillId="4" fontId="5" numFmtId="1" xfId="0" applyAlignment="1" applyFont="1" applyNumberFormat="1">
      <alignment readingOrder="0" shrinkToFit="0" vertical="center" wrapText="0"/>
    </xf>
    <xf borderId="0" fillId="4" fontId="7" numFmtId="1" xfId="0" applyAlignment="1" applyFont="1" applyNumberFormat="1">
      <alignment readingOrder="0" shrinkToFit="0" vertical="center" wrapText="0"/>
    </xf>
    <xf borderId="0" fillId="4" fontId="7" numFmtId="0" xfId="0" applyAlignment="1" applyFont="1">
      <alignment readingOrder="0" shrinkToFit="0" vertical="center" wrapText="0"/>
    </xf>
    <xf borderId="19" fillId="4" fontId="7" numFmtId="0" xfId="0" applyAlignment="1" applyBorder="1" applyFont="1">
      <alignment readingOrder="0" shrinkToFit="0" vertical="center" wrapText="0"/>
    </xf>
    <xf borderId="0" fillId="4" fontId="7" numFmtId="0" xfId="0" applyAlignment="1" applyFont="1">
      <alignment readingOrder="0" shrinkToFit="0" vertical="center" wrapText="0"/>
    </xf>
    <xf borderId="0" fillId="4" fontId="14" numFmtId="0" xfId="0" applyAlignment="1" applyFont="1">
      <alignment readingOrder="0" shrinkToFit="0" vertical="center" wrapText="0"/>
    </xf>
    <xf borderId="18" fillId="4" fontId="14" numFmtId="1" xfId="0" applyAlignment="1" applyBorder="1" applyFont="1" applyNumberFormat="1">
      <alignment shrinkToFit="0" vertical="center" wrapText="0"/>
    </xf>
    <xf borderId="19" fillId="4" fontId="14" numFmtId="0" xfId="0" applyAlignment="1" applyBorder="1" applyFont="1">
      <alignment readingOrder="0" shrinkToFit="0" vertical="center" wrapText="0"/>
    </xf>
    <xf borderId="0" fillId="4" fontId="14" numFmtId="0" xfId="0" applyAlignment="1" applyFont="1">
      <alignment readingOrder="0" shrinkToFit="0" vertical="center" wrapText="0"/>
    </xf>
    <xf borderId="33" fillId="4" fontId="7" numFmtId="49" xfId="0" applyAlignment="1" applyBorder="1" applyFont="1" applyNumberFormat="1">
      <alignment readingOrder="0" shrinkToFit="0" vertical="center" wrapText="0"/>
    </xf>
    <xf borderId="34" fillId="4" fontId="16" numFmtId="0" xfId="0" applyAlignment="1" applyBorder="1" applyFont="1">
      <alignment readingOrder="0" shrinkToFit="0" vertical="center" wrapText="0"/>
    </xf>
    <xf borderId="34" fillId="4" fontId="5" numFmtId="1" xfId="0" applyAlignment="1" applyBorder="1" applyFont="1" applyNumberFormat="1">
      <alignment readingOrder="0" shrinkToFit="0" vertical="center" wrapText="0"/>
    </xf>
    <xf borderId="7" fillId="4" fontId="5" numFmtId="1" xfId="0" applyAlignment="1" applyBorder="1" applyFont="1" applyNumberFormat="1">
      <alignment readingOrder="0" shrinkToFit="0" vertical="center" wrapText="0"/>
    </xf>
    <xf borderId="18" fillId="3" fontId="14" numFmtId="1" xfId="0" applyAlignment="1" applyBorder="1" applyFont="1" applyNumberFormat="1">
      <alignment shrinkToFit="0" vertical="bottom" wrapText="0"/>
    </xf>
    <xf borderId="19" fillId="4" fontId="5" numFmtId="0" xfId="0" applyAlignment="1" applyBorder="1" applyFont="1">
      <alignment readingOrder="0" shrinkToFit="0" vertical="bottom" wrapText="0"/>
    </xf>
    <xf borderId="35" fillId="4" fontId="5" numFmtId="0" xfId="0" applyAlignment="1" applyBorder="1" applyFont="1">
      <alignment readingOrder="0" shrinkToFit="0" vertical="center" wrapText="0"/>
    </xf>
    <xf borderId="36" fillId="4" fontId="14" numFmtId="0" xfId="0" applyAlignment="1" applyBorder="1" applyFont="1">
      <alignment readingOrder="0" shrinkToFit="0" vertical="bottom" wrapText="0"/>
    </xf>
    <xf borderId="37" fillId="4" fontId="14" numFmtId="1" xfId="0" applyAlignment="1" applyBorder="1" applyFont="1" applyNumberFormat="1">
      <alignment shrinkToFit="0" vertical="bottom" wrapText="0"/>
    </xf>
    <xf borderId="38" fillId="4" fontId="14" numFmtId="0" xfId="0" applyAlignment="1" applyBorder="1" applyFont="1">
      <alignment readingOrder="0" shrinkToFit="0" vertical="bottom" wrapText="0"/>
    </xf>
    <xf borderId="34" fillId="4" fontId="14" numFmtId="0" xfId="0" applyAlignment="1" applyBorder="1" applyFont="1">
      <alignment readingOrder="0" shrinkToFit="0" vertical="bottom" wrapText="0"/>
    </xf>
    <xf borderId="39" fillId="4" fontId="7" numFmtId="49" xfId="0" applyAlignment="1" applyBorder="1" applyFont="1" applyNumberFormat="1">
      <alignment shrinkToFit="0" vertical="center" wrapText="0"/>
    </xf>
    <xf borderId="2" fillId="4" fontId="17" numFmtId="0" xfId="0" applyAlignment="1" applyBorder="1" applyFont="1">
      <alignment shrinkToFit="0" vertical="center" wrapText="0"/>
    </xf>
    <xf borderId="24" fillId="4" fontId="7" numFmtId="0" xfId="0" applyAlignment="1" applyBorder="1" applyFont="1">
      <alignment readingOrder="0" shrinkToFit="0" vertical="center" wrapText="0"/>
    </xf>
    <xf borderId="40" fillId="3" fontId="14" numFmtId="0" xfId="0" applyAlignment="1" applyBorder="1" applyFont="1">
      <alignment readingOrder="0" shrinkToFit="0" vertical="center" wrapText="0"/>
    </xf>
    <xf borderId="22" fillId="3" fontId="14" numFmtId="1" xfId="0" applyAlignment="1" applyBorder="1" applyFont="1" applyNumberFormat="1">
      <alignment shrinkToFit="0" vertical="center" wrapText="0"/>
    </xf>
    <xf borderId="27" fillId="3" fontId="14" numFmtId="0" xfId="0" applyAlignment="1" applyBorder="1" applyFont="1">
      <alignment readingOrder="0" shrinkToFit="0" vertical="center" wrapText="0"/>
    </xf>
    <xf borderId="2" fillId="3" fontId="14" numFmtId="0" xfId="0" applyAlignment="1" applyBorder="1" applyFont="1">
      <alignment readingOrder="0" shrinkToFit="0" vertical="center" wrapText="0"/>
    </xf>
    <xf borderId="40" fillId="4" fontId="14" numFmtId="0" xfId="0" applyAlignment="1" applyBorder="1" applyFont="1">
      <alignment readingOrder="0" shrinkToFit="0" vertical="center" wrapText="0"/>
    </xf>
    <xf borderId="22" fillId="4" fontId="14" numFmtId="1" xfId="0" applyAlignment="1" applyBorder="1" applyFont="1" applyNumberFormat="1">
      <alignment shrinkToFit="0" vertical="center" wrapText="0"/>
    </xf>
    <xf borderId="41" fillId="3" fontId="7" numFmtId="49" xfId="0" applyAlignment="1" applyBorder="1" applyFont="1" applyNumberFormat="1">
      <alignment shrinkToFit="0" vertical="center" wrapText="0"/>
    </xf>
    <xf borderId="3" fillId="3" fontId="18" numFmtId="0" xfId="0" applyAlignment="1" applyBorder="1" applyFont="1">
      <alignment readingOrder="0" shrinkToFit="0" vertical="center" wrapText="0"/>
    </xf>
    <xf borderId="17" fillId="3" fontId="5" numFmtId="1" xfId="0" applyAlignment="1" applyBorder="1" applyFont="1" applyNumberFormat="1">
      <alignment readingOrder="0" shrinkToFit="0" vertical="center" wrapText="0"/>
    </xf>
    <xf borderId="21" fillId="4" fontId="7" numFmtId="0" xfId="0" applyAlignment="1" applyBorder="1" applyFont="1">
      <alignment readingOrder="0" shrinkToFit="0" vertical="center" wrapText="0"/>
    </xf>
    <xf borderId="42" fillId="3" fontId="14" numFmtId="0" xfId="0" applyAlignment="1" applyBorder="1" applyFont="1">
      <alignment readingOrder="0" shrinkToFit="0" vertical="center" wrapText="0"/>
    </xf>
    <xf borderId="16" fillId="3" fontId="14" numFmtId="1" xfId="0" applyAlignment="1" applyBorder="1" applyFont="1" applyNumberFormat="1">
      <alignment shrinkToFit="0" vertical="center" wrapText="0"/>
    </xf>
    <xf borderId="21" fillId="3" fontId="5" numFmtId="0" xfId="0" applyAlignment="1" applyBorder="1" applyFont="1">
      <alignment readingOrder="0" shrinkToFit="0" vertical="center" wrapText="0"/>
    </xf>
    <xf borderId="2" fillId="4" fontId="18" numFmtId="0" xfId="0" applyAlignment="1" applyBorder="1" applyFont="1">
      <alignment readingOrder="0" shrinkToFit="0" vertical="center" wrapText="0"/>
    </xf>
    <xf borderId="43" fillId="3" fontId="7" numFmtId="49" xfId="0" applyAlignment="1" applyBorder="1" applyFont="1" applyNumberFormat="1">
      <alignment shrinkToFit="0" vertical="center" wrapText="0"/>
    </xf>
    <xf borderId="0" fillId="3" fontId="19" numFmtId="0" xfId="0" applyAlignment="1" applyFont="1">
      <alignment readingOrder="0" shrinkToFit="0" vertical="center" wrapText="0"/>
    </xf>
    <xf borderId="0" fillId="3" fontId="5" numFmtId="1" xfId="0" applyAlignment="1" applyFont="1" applyNumberFormat="1">
      <alignment readingOrder="0" shrinkToFit="0" vertical="center" wrapText="0"/>
    </xf>
    <xf borderId="0" fillId="3" fontId="7" numFmtId="1" xfId="0" applyAlignment="1" applyFont="1" applyNumberFormat="1">
      <alignment readingOrder="0" shrinkToFit="0" vertical="center" wrapText="0"/>
    </xf>
    <xf borderId="3" fillId="3" fontId="19" numFmtId="0" xfId="0" applyAlignment="1" applyBorder="1" applyFont="1">
      <alignment readingOrder="0" shrinkToFit="0" vertical="center" wrapText="0"/>
    </xf>
    <xf borderId="21" fillId="3" fontId="7" numFmtId="0" xfId="0" applyAlignment="1" applyBorder="1" applyFont="1">
      <alignment readingOrder="0" shrinkToFit="0" vertical="center" wrapText="0"/>
    </xf>
    <xf borderId="41" fillId="4" fontId="7" numFmtId="49" xfId="0" applyAlignment="1" applyBorder="1" applyFont="1" applyNumberFormat="1">
      <alignment shrinkToFit="0" vertical="center" wrapText="0"/>
    </xf>
    <xf borderId="3" fillId="4" fontId="19" numFmtId="0" xfId="0" applyAlignment="1" applyBorder="1" applyFont="1">
      <alignment readingOrder="0" shrinkToFit="0" vertical="center" wrapText="0"/>
    </xf>
    <xf borderId="42" fillId="4" fontId="14" numFmtId="0" xfId="0" applyAlignment="1" applyBorder="1" applyFont="1">
      <alignment readingOrder="0" shrinkToFit="0" vertical="center" wrapText="0"/>
    </xf>
    <xf borderId="16" fillId="4" fontId="14" numFmtId="1" xfId="0" applyAlignment="1" applyBorder="1" applyFont="1" applyNumberFormat="1">
      <alignment shrinkToFit="0" vertical="center" wrapText="0"/>
    </xf>
    <xf borderId="2" fillId="4" fontId="19" numFmtId="0" xfId="0" applyAlignment="1" applyBorder="1" applyFont="1">
      <alignment readingOrder="0" shrinkToFit="0" vertical="center" wrapText="0"/>
    </xf>
    <xf borderId="41" fillId="4" fontId="7" numFmtId="49" xfId="0" applyAlignment="1" applyBorder="1" applyFont="1" applyNumberFormat="1">
      <alignment readingOrder="0" shrinkToFit="0" vertical="center" wrapText="0"/>
    </xf>
    <xf borderId="39" fillId="4" fontId="7" numFmtId="49" xfId="0" applyAlignment="1" applyBorder="1" applyFont="1" applyNumberFormat="1">
      <alignment readingOrder="0" shrinkToFit="0" vertical="center" wrapText="0"/>
    </xf>
    <xf borderId="39" fillId="3" fontId="7" numFmtId="49" xfId="0" applyAlignment="1" applyBorder="1" applyFont="1" applyNumberFormat="1">
      <alignment shrinkToFit="0" vertical="center" wrapText="0"/>
    </xf>
    <xf borderId="2" fillId="3" fontId="19" numFmtId="0" xfId="0" applyAlignment="1" applyBorder="1" applyFont="1">
      <alignment readingOrder="0" shrinkToFit="0" vertical="center" wrapText="0"/>
    </xf>
    <xf borderId="23" fillId="3" fontId="5" numFmtId="1" xfId="0" applyAlignment="1" applyBorder="1" applyFont="1" applyNumberFormat="1">
      <alignment readingOrder="0" shrinkToFit="0" vertical="center" wrapText="0"/>
    </xf>
    <xf borderId="24" fillId="3" fontId="5" numFmtId="0" xfId="0" applyAlignment="1" applyBorder="1" applyFont="1">
      <alignment readingOrder="0" shrinkToFit="0" vertical="center" wrapText="0"/>
    </xf>
    <xf borderId="39" fillId="3" fontId="7" numFmtId="49" xfId="0" applyAlignment="1" applyBorder="1" applyFont="1" applyNumberFormat="1">
      <alignment readingOrder="0" shrinkToFit="0" vertical="center" wrapText="0"/>
    </xf>
    <xf borderId="23" fillId="3" fontId="7" numFmtId="1" xfId="0" applyAlignment="1" applyBorder="1" applyFont="1" applyNumberFormat="1">
      <alignment readingOrder="0" shrinkToFit="0" vertical="center" wrapText="0"/>
    </xf>
    <xf borderId="2" fillId="4" fontId="16" numFmtId="0" xfId="0" applyAlignment="1" applyBorder="1" applyFont="1">
      <alignment readingOrder="0" shrinkToFit="0" vertical="center" wrapText="0"/>
    </xf>
    <xf borderId="40" fillId="4" fontId="14" numFmtId="0" xfId="0" applyAlignment="1" applyBorder="1" applyFont="1">
      <alignment readingOrder="0" shrinkToFit="0" vertical="bottom" wrapText="0"/>
    </xf>
    <xf borderId="22" fillId="4" fontId="14" numFmtId="1" xfId="0" applyAlignment="1" applyBorder="1" applyFont="1" applyNumberFormat="1">
      <alignment shrinkToFit="0" vertical="bottom" wrapText="0"/>
    </xf>
    <xf borderId="27" fillId="4" fontId="14" numFmtId="0" xfId="0" applyAlignment="1" applyBorder="1" applyFont="1">
      <alignment readingOrder="0" shrinkToFit="0" vertical="bottom" wrapText="0"/>
    </xf>
    <xf borderId="2" fillId="4" fontId="14" numFmtId="0" xfId="0" applyAlignment="1" applyBorder="1" applyFont="1">
      <alignment readingOrder="0" shrinkToFit="0" vertical="bottom" wrapText="0"/>
    </xf>
    <xf borderId="3" fillId="3" fontId="18" numFmtId="0" xfId="0" applyAlignment="1" applyBorder="1" applyFont="1">
      <alignment shrinkToFit="0" vertical="center" wrapText="0"/>
    </xf>
    <xf borderId="2" fillId="4" fontId="18" numFmtId="0" xfId="0" applyAlignment="1" applyBorder="1" applyFont="1">
      <alignment shrinkToFit="0" vertical="center" wrapText="0"/>
    </xf>
    <xf borderId="19" fillId="0" fontId="7" numFmtId="0" xfId="0" applyAlignment="1" applyBorder="1" applyFont="1">
      <alignment readingOrder="0" shrinkToFit="0" vertical="center" wrapText="0"/>
    </xf>
    <xf borderId="2" fillId="3" fontId="18" numFmtId="0" xfId="0" applyAlignment="1" applyBorder="1" applyFont="1">
      <alignment shrinkToFit="0" vertical="center" wrapText="0"/>
    </xf>
    <xf borderId="41" fillId="3" fontId="7" numFmtId="49" xfId="0" applyAlignment="1" applyBorder="1" applyFont="1" applyNumberFormat="1">
      <alignment readingOrder="0" shrinkToFit="0" vertical="center" wrapText="0"/>
    </xf>
    <xf borderId="3" fillId="3" fontId="20" numFmtId="0" xfId="0" applyAlignment="1" applyBorder="1" applyFont="1">
      <alignment readingOrder="0" shrinkToFit="0" vertical="center" wrapText="0"/>
    </xf>
    <xf borderId="2" fillId="3" fontId="20" numFmtId="0" xfId="0" applyAlignment="1" applyBorder="1" applyFont="1">
      <alignment readingOrder="0" shrinkToFit="0" vertical="center" wrapText="0"/>
    </xf>
    <xf borderId="2" fillId="4" fontId="16" numFmtId="0" xfId="0" applyAlignment="1" applyBorder="1" applyFont="1">
      <alignment shrinkToFit="0" vertical="center" wrapText="0"/>
    </xf>
    <xf borderId="3" fillId="4" fontId="16" numFmtId="0" xfId="0" applyAlignment="1" applyBorder="1" applyFont="1">
      <alignment shrinkToFit="0" vertical="center" wrapText="0"/>
    </xf>
    <xf borderId="2" fillId="3" fontId="16" numFmtId="0" xfId="0" applyAlignment="1" applyBorder="1" applyFont="1">
      <alignment shrinkToFit="0" vertical="center" wrapText="0"/>
    </xf>
    <xf borderId="24" fillId="0" fontId="1" numFmtId="0" xfId="0" applyAlignment="1" applyBorder="1" applyFont="1">
      <alignment readingOrder="0" shrinkToFit="0" vertical="center" wrapText="0"/>
    </xf>
    <xf borderId="43" fillId="3" fontId="7" numFmtId="49" xfId="0" applyAlignment="1" applyBorder="1" applyFont="1" applyNumberFormat="1">
      <alignment readingOrder="0" shrinkToFit="0" vertical="center" wrapText="0"/>
    </xf>
    <xf borderId="0" fillId="3" fontId="20" numFmtId="0" xfId="0" applyAlignment="1" applyFont="1">
      <alignment readingOrder="0" shrinkToFit="0" vertical="center" wrapText="0"/>
    </xf>
    <xf borderId="0" fillId="3" fontId="7" numFmtId="0" xfId="0" applyAlignment="1" applyFont="1">
      <alignment readingOrder="0" shrinkToFit="0" vertical="center" wrapText="0"/>
    </xf>
    <xf borderId="0" fillId="3" fontId="15" numFmtId="0" xfId="0" applyAlignment="1" applyFont="1">
      <alignment readingOrder="0" shrinkToFit="0" vertical="center" wrapText="0"/>
    </xf>
    <xf borderId="18" fillId="3" fontId="15" numFmtId="1" xfId="0" applyAlignment="1" applyBorder="1" applyFont="1" applyNumberFormat="1">
      <alignment readingOrder="0" shrinkToFit="0" vertical="center" wrapText="0"/>
    </xf>
    <xf borderId="19" fillId="3" fontId="14" numFmtId="0" xfId="0" applyAlignment="1" applyBorder="1" applyFont="1">
      <alignment readingOrder="0" shrinkToFit="0" vertical="center" wrapText="0"/>
    </xf>
    <xf borderId="0" fillId="3" fontId="14" numFmtId="0" xfId="0" applyAlignment="1" applyFont="1">
      <alignment readingOrder="0" shrinkToFit="0" vertical="center" wrapText="0"/>
    </xf>
    <xf borderId="43" fillId="4" fontId="7" numFmtId="49" xfId="0" applyAlignment="1" applyBorder="1" applyFont="1" applyNumberFormat="1">
      <alignment readingOrder="0" shrinkToFit="0" vertical="center" wrapText="0"/>
    </xf>
    <xf borderId="0" fillId="4" fontId="16" numFmtId="0" xfId="0" applyAlignment="1" applyFont="1">
      <alignment readingOrder="0" shrinkToFit="0" vertical="center" wrapText="0"/>
    </xf>
    <xf borderId="18" fillId="4" fontId="5" numFmtId="0" xfId="0" applyAlignment="1" applyBorder="1" applyFont="1">
      <alignment readingOrder="0" shrinkToFit="0" vertical="center" wrapText="0"/>
    </xf>
    <xf borderId="0" fillId="3" fontId="7" numFmtId="49" xfId="0" applyAlignment="1" applyFont="1" applyNumberFormat="1">
      <alignment readingOrder="0" shrinkToFit="0" vertical="center" wrapText="0"/>
    </xf>
    <xf borderId="18" fillId="3" fontId="7" numFmtId="0" xfId="0" applyAlignment="1" applyBorder="1" applyFont="1">
      <alignment readingOrder="0" shrinkToFit="0" vertical="center" wrapText="0"/>
    </xf>
    <xf borderId="0" fillId="4" fontId="7" numFmtId="49" xfId="0" applyAlignment="1" applyFont="1" applyNumberFormat="1">
      <alignment readingOrder="0" shrinkToFit="0" vertical="center" wrapText="0"/>
    </xf>
    <xf borderId="0" fillId="4" fontId="20" numFmtId="0" xfId="0" applyAlignment="1" applyFont="1">
      <alignment shrinkToFit="0" vertical="center" wrapText="0"/>
    </xf>
    <xf borderId="18" fillId="4" fontId="7" numFmtId="0" xfId="0" applyAlignment="1" applyBorder="1" applyFont="1">
      <alignment readingOrder="0" shrinkToFit="0" vertical="center" wrapText="0"/>
    </xf>
    <xf borderId="0" fillId="3" fontId="7" numFmtId="49" xfId="0" applyAlignment="1" applyFont="1" applyNumberFormat="1">
      <alignment shrinkToFit="0" vertical="center" wrapText="0"/>
    </xf>
    <xf borderId="0" fillId="3" fontId="20" numFmtId="0" xfId="0" applyAlignment="1" applyFont="1">
      <alignment shrinkToFit="0" vertical="center" wrapText="0"/>
    </xf>
    <xf borderId="18" fillId="3" fontId="5" numFmtId="0" xfId="0" applyAlignment="1" applyBorder="1" applyFont="1">
      <alignment readingOrder="0" shrinkToFit="0" vertical="center" wrapText="0"/>
    </xf>
    <xf borderId="19" fillId="4" fontId="7" numFmtId="1" xfId="0" applyAlignment="1" applyBorder="1" applyFont="1" applyNumberFormat="1">
      <alignment readingOrder="0" shrinkToFit="0" vertical="center" wrapText="0"/>
    </xf>
    <xf borderId="0" fillId="3" fontId="14" numFmtId="1" xfId="0" applyAlignment="1" applyFont="1" applyNumberFormat="1">
      <alignment shrinkToFit="0" vertical="center" wrapText="0"/>
    </xf>
    <xf borderId="19" fillId="4" fontId="14" numFmtId="0" xfId="0" applyAlignment="1" applyBorder="1" applyFont="1">
      <alignment readingOrder="0" shrinkToFit="0" vertical="center" wrapText="0"/>
    </xf>
    <xf borderId="0" fillId="4" fontId="14" numFmtId="1" xfId="0" applyAlignment="1" applyFont="1" applyNumberFormat="1">
      <alignment shrinkToFit="0" vertical="center" wrapText="0"/>
    </xf>
    <xf borderId="19" fillId="3" fontId="7" numFmtId="1" xfId="0" applyAlignment="1" applyBorder="1" applyFont="1" applyNumberFormat="1">
      <alignment readingOrder="0" shrinkToFit="0" vertical="center" wrapText="0"/>
    </xf>
    <xf borderId="0" fillId="0" fontId="5" numFmtId="0" xfId="0" applyAlignment="1" applyFont="1">
      <alignment vertical="bottom"/>
    </xf>
    <xf borderId="0" fillId="0" fontId="14" numFmtId="0" xfId="0" applyAlignment="1" applyFont="1">
      <alignment vertical="bottom"/>
    </xf>
    <xf borderId="0" fillId="0" fontId="21" numFmtId="0" xfId="0" applyFont="1"/>
    <xf borderId="0" fillId="4" fontId="22" numFmtId="0" xfId="0" applyFont="1"/>
    <xf borderId="44" fillId="6" fontId="21" numFmtId="166" xfId="0" applyBorder="1" applyFill="1" applyFont="1" applyNumberFormat="1"/>
    <xf borderId="45" fillId="6" fontId="21" numFmtId="166" xfId="0" applyBorder="1" applyFont="1" applyNumberFormat="1"/>
    <xf borderId="46" fillId="6" fontId="21" numFmtId="0" xfId="0" applyBorder="1" applyFont="1"/>
    <xf borderId="47" fillId="7" fontId="23" numFmtId="0" xfId="0" applyBorder="1" applyFill="1" applyFont="1"/>
    <xf borderId="48" fillId="0" fontId="1" numFmtId="166" xfId="0" applyBorder="1" applyFont="1" applyNumberFormat="1"/>
    <xf borderId="49" fillId="0" fontId="1" numFmtId="166" xfId="0" applyBorder="1" applyFont="1" applyNumberFormat="1"/>
    <xf borderId="50" fillId="0" fontId="1" numFmtId="1" xfId="0" applyBorder="1" applyFont="1" applyNumberFormat="1"/>
    <xf borderId="51" fillId="7" fontId="23" numFmtId="0" xfId="0" applyBorder="1" applyFont="1"/>
    <xf borderId="50" fillId="0" fontId="1" numFmtId="0" xfId="0" applyBorder="1" applyFont="1"/>
    <xf borderId="52" fillId="7" fontId="23" numFmtId="0" xfId="0" applyBorder="1" applyFont="1"/>
    <xf borderId="53" fillId="0" fontId="1" numFmtId="166" xfId="0" applyBorder="1" applyFont="1" applyNumberFormat="1"/>
    <xf borderId="54" fillId="0" fontId="1" numFmtId="166" xfId="0" applyBorder="1" applyFont="1" applyNumberFormat="1"/>
    <xf borderId="55" fillId="0" fontId="1" numFmtId="1" xfId="0" applyBorder="1" applyFont="1" applyNumberFormat="1"/>
    <xf borderId="47" fillId="8" fontId="23" numFmtId="0" xfId="0" applyBorder="1" applyFill="1" applyFont="1"/>
    <xf borderId="56" fillId="0" fontId="1" numFmtId="166" xfId="0" applyBorder="1" applyFont="1" applyNumberFormat="1"/>
    <xf borderId="57" fillId="0" fontId="1" numFmtId="166" xfId="0" applyBorder="1" applyFont="1" applyNumberFormat="1"/>
    <xf borderId="58" fillId="0" fontId="1" numFmtId="0" xfId="0" applyBorder="1" applyFont="1"/>
    <xf borderId="51" fillId="8" fontId="23" numFmtId="0" xfId="0" applyBorder="1" applyFont="1"/>
    <xf borderId="0" fillId="0" fontId="1" numFmtId="0" xfId="0" applyAlignment="1" applyFont="1">
      <alignment shrinkToFit="0" wrapText="1"/>
    </xf>
    <xf borderId="59" fillId="0" fontId="21" numFmtId="0" xfId="0" applyBorder="1" applyFont="1"/>
    <xf borderId="60" fillId="0" fontId="1" numFmtId="0" xfId="0" applyBorder="1" applyFont="1"/>
    <xf borderId="61" fillId="0" fontId="1" numFmtId="0" xfId="0" applyBorder="1" applyFont="1"/>
    <xf borderId="62" fillId="0" fontId="1" numFmtId="0" xfId="0" applyBorder="1" applyFont="1"/>
    <xf borderId="59" fillId="0" fontId="21" numFmtId="0" xfId="0" applyAlignment="1" applyBorder="1" applyFont="1">
      <alignment readingOrder="0"/>
    </xf>
    <xf borderId="60" fillId="0" fontId="1" numFmtId="0" xfId="0" applyAlignment="1" applyBorder="1" applyFont="1">
      <alignment readingOrder="0"/>
    </xf>
    <xf borderId="61" fillId="0" fontId="1" numFmtId="0" xfId="0" applyAlignment="1" applyBorder="1" applyFont="1">
      <alignment readingOrder="0"/>
    </xf>
    <xf borderId="60" fillId="0" fontId="1" numFmtId="0" xfId="0" applyAlignment="1" applyBorder="1" applyFont="1">
      <alignment horizontal="right" readingOrder="0"/>
    </xf>
    <xf borderId="62" fillId="0" fontId="1" numFmtId="0" xfId="0" applyAlignment="1" applyBorder="1" applyFont="1">
      <alignment readingOrder="0"/>
    </xf>
    <xf borderId="0" fillId="4" fontId="23" numFmtId="0" xfId="0" applyAlignment="1" applyFont="1">
      <alignment readingOrder="0"/>
    </xf>
    <xf borderId="0" fillId="4" fontId="1" numFmtId="0" xfId="0" applyFont="1"/>
    <xf borderId="45" fillId="7" fontId="23" numFmtId="0" xfId="0" applyAlignment="1" applyBorder="1" applyFont="1">
      <alignment readingOrder="0"/>
    </xf>
    <xf borderId="60" fillId="0" fontId="1" numFmtId="166" xfId="0" applyBorder="1" applyFont="1" applyNumberFormat="1"/>
    <xf borderId="63" fillId="0" fontId="1" numFmtId="166" xfId="0" applyBorder="1" applyFont="1" applyNumberFormat="1"/>
    <xf borderId="62" fillId="0" fontId="1" numFmtId="166" xfId="0" applyBorder="1" applyFont="1" applyNumberFormat="1"/>
    <xf borderId="52" fillId="8" fontId="23" numFmtId="0" xfId="0" applyAlignment="1" applyBorder="1" applyFont="1">
      <alignment readingOrder="0"/>
    </xf>
    <xf borderId="55" fillId="0" fontId="1" numFmtId="166" xfId="0" applyBorder="1" applyFont="1" applyNumberFormat="1"/>
    <xf borderId="60" fillId="0" fontId="1" numFmtId="9" xfId="0" applyAlignment="1" applyBorder="1" applyFont="1" applyNumberFormat="1">
      <alignment readingOrder="0"/>
    </xf>
    <xf borderId="59" fillId="9" fontId="23" numFmtId="0" xfId="0" applyAlignment="1" applyBorder="1" applyFill="1" applyFont="1">
      <alignment readingOrder="0"/>
    </xf>
    <xf borderId="64" fillId="0" fontId="1" numFmtId="0" xfId="0" applyAlignment="1" applyBorder="1" applyFont="1">
      <alignment readingOrder="0"/>
    </xf>
    <xf borderId="65" fillId="0" fontId="1" numFmtId="0" xfId="0" applyAlignment="1" applyBorder="1" applyFont="1">
      <alignment readingOrder="0"/>
    </xf>
    <xf borderId="0" fillId="0" fontId="21" numFmtId="0" xfId="0" applyAlignment="1" applyFont="1">
      <alignment readingOrder="0"/>
    </xf>
    <xf borderId="44" fillId="6" fontId="23" numFmtId="166" xfId="0" applyAlignment="1" applyBorder="1" applyFont="1" applyNumberFormat="1">
      <alignment readingOrder="0"/>
    </xf>
    <xf borderId="46" fillId="6" fontId="23" numFmtId="0" xfId="0" applyBorder="1" applyFont="1"/>
    <xf borderId="44" fillId="6" fontId="23" numFmtId="166" xfId="0" applyBorder="1" applyFont="1" applyNumberFormat="1"/>
    <xf borderId="45" fillId="6" fontId="23" numFmtId="166" xfId="0" applyBorder="1" applyFont="1" applyNumberFormat="1"/>
    <xf borderId="66" fillId="10" fontId="23" numFmtId="0" xfId="0" applyAlignment="1" applyBorder="1" applyFill="1" applyFont="1">
      <alignment readingOrder="0" vertical="center"/>
    </xf>
    <xf borderId="66" fillId="0" fontId="1" numFmtId="0" xfId="0" applyAlignment="1" applyBorder="1" applyFont="1">
      <alignment readingOrder="0" shrinkToFit="0" vertical="top" wrapText="1"/>
    </xf>
    <xf borderId="66" fillId="0" fontId="24" numFmtId="0" xfId="0" applyAlignment="1" applyBorder="1" applyFont="1">
      <alignment readingOrder="0" shrinkToFit="0" vertical="top" wrapText="1"/>
    </xf>
    <xf borderId="67" fillId="0" fontId="1" numFmtId="0" xfId="0" applyAlignment="1" applyBorder="1" applyFont="1">
      <alignment readingOrder="0" shrinkToFit="0" vertical="top" wrapText="1"/>
    </xf>
    <xf borderId="47" fillId="7" fontId="23" numFmtId="0" xfId="0" applyAlignment="1" applyBorder="1" applyFont="1">
      <alignment readingOrder="0" vertical="center"/>
    </xf>
    <xf borderId="66" fillId="0" fontId="1" numFmtId="166" xfId="0" applyAlignment="1" applyBorder="1" applyFont="1" applyNumberFormat="1">
      <alignment readingOrder="0" shrinkToFit="0" vertical="top" wrapText="1"/>
    </xf>
    <xf borderId="0" fillId="0" fontId="1" numFmtId="0" xfId="0" applyAlignment="1" applyFont="1">
      <alignment readingOrder="0"/>
    </xf>
    <xf borderId="68" fillId="11" fontId="23" numFmtId="166" xfId="0" applyAlignment="1" applyBorder="1" applyFill="1" applyFont="1" applyNumberFormat="1">
      <alignment readingOrder="0"/>
    </xf>
    <xf borderId="69" fillId="12" fontId="23" numFmtId="166" xfId="0" applyAlignment="1" applyBorder="1" applyFill="1" applyFont="1" applyNumberFormat="1">
      <alignment readingOrder="0"/>
    </xf>
    <xf borderId="70" fillId="13" fontId="23" numFmtId="0" xfId="0" applyAlignment="1" applyBorder="1" applyFill="1" applyFont="1">
      <alignment readingOrder="0"/>
    </xf>
    <xf borderId="70" fillId="14" fontId="23" numFmtId="0" xfId="0" applyAlignment="1" applyBorder="1" applyFill="1" applyFont="1">
      <alignment readingOrder="0"/>
    </xf>
    <xf borderId="0" fillId="15" fontId="21" numFmtId="0" xfId="0" applyAlignment="1" applyFill="1" applyFont="1">
      <alignment readingOrder="0"/>
    </xf>
    <xf borderId="66" fillId="7" fontId="23" numFmtId="0" xfId="0" applyAlignment="1" applyBorder="1" applyFont="1">
      <alignment readingOrder="0" vertical="center"/>
    </xf>
    <xf borderId="66" fillId="0" fontId="1" numFmtId="166" xfId="0" applyAlignment="1" applyBorder="1" applyFont="1" applyNumberFormat="1">
      <alignment readingOrder="0" shrinkToFit="0" vertical="center" wrapText="1"/>
    </xf>
    <xf borderId="66" fillId="0" fontId="1" numFmtId="166" xfId="0" applyAlignment="1" applyBorder="1" applyFont="1" applyNumberFormat="1">
      <alignment readingOrder="0" vertical="center"/>
    </xf>
    <xf borderId="66" fillId="0" fontId="1" numFmtId="0" xfId="0" applyAlignment="1" applyBorder="1" applyFont="1">
      <alignment readingOrder="0"/>
    </xf>
    <xf borderId="66" fillId="0" fontId="1" numFmtId="0" xfId="0" applyAlignment="1" applyBorder="1" applyFont="1">
      <alignment readingOrder="0" shrinkToFit="0" vertical="center" wrapText="1"/>
    </xf>
    <xf borderId="0" fillId="0" fontId="25" numFmtId="0" xfId="0" applyAlignment="1" applyFont="1">
      <alignment horizontal="center" readingOrder="0" vertical="center"/>
    </xf>
    <xf borderId="66" fillId="7" fontId="23" numFmtId="0" xfId="0" applyAlignment="1" applyBorder="1" applyFont="1">
      <alignment readingOrder="0"/>
    </xf>
    <xf borderId="66" fillId="0" fontId="1" numFmtId="1" xfId="0" applyAlignment="1" applyBorder="1" applyFont="1" applyNumberFormat="1">
      <alignment readingOrder="0" shrinkToFit="0" wrapText="1"/>
    </xf>
    <xf borderId="66" fillId="0" fontId="1" numFmtId="1" xfId="0" applyAlignment="1" applyBorder="1" applyFont="1" applyNumberFormat="1">
      <alignment readingOrder="0" vertical="center"/>
    </xf>
    <xf borderId="0" fillId="0" fontId="21" numFmtId="9" xfId="0" applyAlignment="1" applyFont="1" applyNumberFormat="1">
      <alignment readingOrder="0"/>
    </xf>
    <xf borderId="66" fillId="16" fontId="1" numFmtId="0" xfId="0" applyAlignment="1" applyBorder="1" applyFill="1" applyFont="1">
      <alignment readingOrder="0"/>
    </xf>
    <xf borderId="0" fillId="16" fontId="1" numFmtId="0" xfId="0" applyAlignment="1" applyFont="1">
      <alignment readingOrder="0"/>
    </xf>
    <xf borderId="2" fillId="3" fontId="5" numFmtId="167" xfId="0" applyAlignment="1" applyBorder="1" applyFont="1" applyNumberFormat="1">
      <alignment readingOrder="0" shrinkToFit="0" vertical="center" wrapText="0"/>
    </xf>
    <xf borderId="2" fillId="3" fontId="5" numFmtId="168" xfId="0" applyAlignment="1" applyBorder="1" applyFont="1" applyNumberFormat="1">
      <alignment readingOrder="0" shrinkToFit="0" vertical="center" wrapText="0"/>
    </xf>
    <xf borderId="0" fillId="0" fontId="1" numFmtId="168" xfId="0" applyAlignment="1" applyFont="1" applyNumberFormat="1">
      <alignment readingOrder="0" shrinkToFit="0" vertical="center" wrapText="0"/>
    </xf>
    <xf borderId="0" fillId="4" fontId="5" numFmtId="167" xfId="0" applyAlignment="1" applyFont="1" applyNumberFormat="1">
      <alignment shrinkToFit="0" vertical="center" wrapText="0"/>
    </xf>
    <xf borderId="3" fillId="4" fontId="5" numFmtId="167" xfId="0" applyAlignment="1" applyBorder="1" applyFont="1" applyNumberFormat="1">
      <alignment shrinkToFit="0" vertical="center" wrapText="0"/>
    </xf>
    <xf borderId="0" fillId="0" fontId="1" numFmtId="168" xfId="0" applyAlignment="1" applyFont="1" applyNumberFormat="1">
      <alignment shrinkToFit="0" vertical="center" wrapText="0"/>
    </xf>
    <xf borderId="0" fillId="3" fontId="5" numFmtId="167" xfId="0" applyAlignment="1" applyFont="1" applyNumberFormat="1">
      <alignment shrinkToFit="0" vertical="center" wrapText="0"/>
    </xf>
    <xf borderId="3" fillId="3" fontId="5" numFmtId="167" xfId="0" applyAlignment="1" applyBorder="1" applyFont="1" applyNumberFormat="1">
      <alignment shrinkToFit="0" vertical="center" wrapText="0"/>
    </xf>
    <xf borderId="0" fillId="3" fontId="5" numFmtId="167" xfId="0" applyAlignment="1" applyFont="1" applyNumberFormat="1">
      <alignment readingOrder="0" shrinkToFit="0" vertical="center" wrapText="0"/>
    </xf>
    <xf borderId="0" fillId="4" fontId="5" numFmtId="167" xfId="0" applyAlignment="1" applyFont="1" applyNumberFormat="1">
      <alignment readingOrder="0" shrinkToFit="0" vertical="center" wrapText="0"/>
    </xf>
    <xf borderId="3" fillId="4" fontId="5" numFmtId="167" xfId="0" applyAlignment="1" applyBorder="1" applyFont="1" applyNumberFormat="1">
      <alignment readingOrder="0" shrinkToFit="0" vertical="center" wrapText="0"/>
    </xf>
    <xf borderId="39" fillId="5" fontId="7" numFmtId="49" xfId="0" applyAlignment="1" applyBorder="1" applyFont="1" applyNumberFormat="1">
      <alignment shrinkToFit="0" vertical="center" wrapText="0"/>
    </xf>
    <xf borderId="2" fillId="4" fontId="5" numFmtId="0" xfId="0" applyAlignment="1" applyBorder="1" applyFont="1">
      <alignment shrinkToFit="0" vertical="center" wrapText="0"/>
    </xf>
    <xf borderId="2" fillId="4" fontId="20" numFmtId="0" xfId="0" applyAlignment="1" applyBorder="1" applyFont="1">
      <alignment shrinkToFit="0" vertical="center" wrapText="0"/>
    </xf>
    <xf borderId="71" fillId="4" fontId="5" numFmtId="49" xfId="0" applyAlignment="1" applyBorder="1" applyFont="1" applyNumberFormat="1">
      <alignment shrinkToFit="0" vertical="center" wrapText="0"/>
    </xf>
    <xf borderId="41" fillId="5" fontId="7" numFmtId="49" xfId="0" applyAlignment="1" applyBorder="1" applyFont="1" applyNumberFormat="1">
      <alignment shrinkToFit="0" vertical="center" wrapText="0"/>
    </xf>
    <xf borderId="3" fillId="3" fontId="5" numFmtId="0" xfId="0" applyAlignment="1" applyBorder="1" applyFont="1">
      <alignment shrinkToFit="0" vertical="center" wrapText="0"/>
    </xf>
    <xf borderId="3" fillId="3" fontId="17" numFmtId="0" xfId="0" applyAlignment="1" applyBorder="1" applyFont="1">
      <alignment shrinkToFit="0" vertical="center" wrapText="0"/>
    </xf>
    <xf borderId="72" fillId="3" fontId="5" numFmtId="49" xfId="0" applyAlignment="1" applyBorder="1" applyFont="1" applyNumberFormat="1">
      <alignment shrinkToFit="0" vertical="center" wrapText="0"/>
    </xf>
    <xf borderId="2" fillId="4" fontId="19" numFmtId="0" xfId="0" applyAlignment="1" applyBorder="1" applyFont="1">
      <alignment shrinkToFit="0" vertical="center" wrapText="0"/>
    </xf>
    <xf borderId="3" fillId="4" fontId="5" numFmtId="0" xfId="0" applyAlignment="1" applyBorder="1" applyFont="1">
      <alignment shrinkToFit="0" vertical="center" wrapText="0"/>
    </xf>
    <xf borderId="3" fillId="4" fontId="20" numFmtId="0" xfId="0" applyAlignment="1" applyBorder="1" applyFont="1">
      <alignment shrinkToFit="0" vertical="center" wrapText="0"/>
    </xf>
    <xf borderId="72" fillId="4" fontId="5" numFmtId="49" xfId="0" applyAlignment="1" applyBorder="1" applyFont="1" applyNumberFormat="1">
      <alignment shrinkToFit="0" vertical="center" wrapText="0"/>
    </xf>
    <xf borderId="73" fillId="5" fontId="7" numFmtId="49" xfId="0" applyAlignment="1" applyBorder="1" applyFont="1" applyNumberFormat="1">
      <alignment readingOrder="0" shrinkToFit="0" vertical="center" wrapText="0"/>
    </xf>
    <xf borderId="74" fillId="3" fontId="5" numFmtId="0" xfId="0" applyAlignment="1" applyBorder="1" applyFont="1">
      <alignment shrinkToFit="0" vertical="center" wrapText="0"/>
    </xf>
    <xf borderId="74" fillId="3" fontId="16" numFmtId="0" xfId="0" applyAlignment="1" applyBorder="1" applyFont="1">
      <alignment shrinkToFit="0" vertical="center" wrapText="0"/>
    </xf>
    <xf borderId="75" fillId="3" fontId="5" numFmtId="49" xfId="0" applyAlignment="1" applyBorder="1" applyFont="1" applyNumberFormat="1">
      <alignment shrinkToFit="0" vertical="center" wrapText="0"/>
    </xf>
  </cellXfs>
  <cellStyles count="1">
    <cellStyle xfId="0" name="Normal" builtinId="0"/>
  </cellStyles>
  <dxfs count="11">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color rgb="FFFFFFFF"/>
      </font>
      <fill>
        <patternFill patternType="solid">
          <fgColor rgb="FF38761D"/>
          <bgColor rgb="FF38761D"/>
        </patternFill>
      </fill>
      <border/>
    </dxf>
    <dxf>
      <font>
        <color rgb="FFFFFFFF"/>
      </font>
      <fill>
        <patternFill patternType="solid">
          <fgColor rgb="FF6AA84F"/>
          <bgColor rgb="FF6AA84F"/>
        </patternFill>
      </fill>
      <border/>
    </dxf>
    <dxf>
      <font>
        <color rgb="FF000000"/>
      </font>
      <fill>
        <patternFill patternType="solid">
          <fgColor rgb="FFFFE599"/>
          <bgColor rgb="FFFFE599"/>
        </patternFill>
      </fill>
      <border/>
    </dxf>
    <dxf>
      <font>
        <color rgb="FF000000"/>
      </font>
      <fill>
        <patternFill patternType="solid">
          <fgColor rgb="FFF1C232"/>
          <bgColor rgb="FFF1C232"/>
        </patternFill>
      </fill>
      <border/>
    </dxf>
    <dxf>
      <font>
        <color rgb="FF000000"/>
      </font>
      <fill>
        <patternFill patternType="solid">
          <fgColor rgb="FFFF0000"/>
          <bgColor rgb="FFFF0000"/>
        </patternFill>
      </fill>
      <border/>
    </dxf>
    <dxf>
      <font/>
      <fill>
        <patternFill patternType="solid">
          <fgColor rgb="FFB7E1CD"/>
          <bgColor rgb="FFB7E1CD"/>
        </patternFill>
      </fill>
      <border/>
    </dxf>
  </dxfs>
  <tableStyles count="4">
    <tableStyle count="4" pivot="0" name="Brands Operative-style">
      <tableStyleElement dxfId="1" type="headerRow"/>
      <tableStyleElement dxfId="2" type="firstRowStripe"/>
      <tableStyleElement dxfId="3" type="secondRowStripe"/>
      <tableStyleElement dxfId="4" size="0" type="wholeTable"/>
    </tableStyle>
    <tableStyle count="4" pivot="0" name="Brand Data-style">
      <tableStyleElement dxfId="1" type="headerRow"/>
      <tableStyleElement dxfId="2" type="firstRowStripe"/>
      <tableStyleElement dxfId="3" type="secondRowStripe"/>
      <tableStyleElement dxfId="4" size="0" type="wholeTable"/>
    </tableStyle>
    <tableStyle count="4" pivot="0" name="AgentsAgencies-style">
      <tableStyleElement dxfId="1" type="headerRow"/>
      <tableStyleElement dxfId="2" type="firstRowStripe"/>
      <tableStyleElement dxfId="3" type="secondRowStripe"/>
      <tableStyleElement dxfId="4" size="0" type="wholeTable"/>
    </tableStyle>
    <tableStyle count="4" pivot="0" name="Agency 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pivotCacheDefinition" Target="pivotCache/pivotCacheDefinition1.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iulio Casagrande" id="{286ce30c-5b45-402b-ade6-c0cc4a64d266}" providerId="google-sheets"/>
  <x18tc:person displayName="Riccardo Acciarino" id="{0f8a08de-4d04-4cd3-b7cd-4a948ac72e6e}" providerId="google-sheets"/>
  <x18tc:person displayName="Lorenzo Ramon" id="{72cb9fa7-a0f2-41c2-ace3-a7bfd715a3e6}"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46" sheet="Brand Data"/>
  </cacheSource>
  <cacheFields>
    <cacheField name="Name" numFmtId="49">
      <sharedItems>
        <s v="EU Startup"/>
        <s v="Festival Montecarlo AI Cinema"/>
        <s v="Maverick"/>
        <s v="MK2"/>
        <s v="Rarissima"/>
        <s v="VivaTech"/>
        <s v="NOI Techpark"/>
        <s v="Armani"/>
        <s v="Brunello Cucinelli"/>
        <s v="Luxottica"/>
        <s v="Moncler"/>
        <s v="Alleanza"/>
        <s v="Allianz Bank"/>
        <s v="Allianz CH"/>
        <s v="BNL/BNP"/>
        <s v="BPER"/>
        <s v="Generali"/>
        <s v="Generali Bank"/>
        <s v="Mediolanum"/>
        <s v="Mediolanum IE"/>
        <s v="QNB"/>
        <s v="Raiffeisen"/>
        <s v="SMBC"/>
        <s v="WeWealth"/>
        <s v="Poste Italiane"/>
        <s v="Coop CH"/>
        <s v="Givaudan"/>
        <s v="L'Oréal"/>
        <s v="PMI"/>
        <s v="Bridge Partners"/>
        <s v="Guerilla Classics"/>
        <s v="IRB"/>
        <s v="Qatar Airways"/>
        <s v="Qatar Museums"/>
        <s v="Wired"/>
        <s v="Deloitte"/>
        <s v="Prometeia"/>
        <s v="PWC"/>
        <s v="Reply"/>
        <s v="MCI"/>
        <s v="Alibaba"/>
        <s v="DELL Technologies"/>
        <s v="Fastweb&amp;Vodafone"/>
        <s v="Freemantle"/>
        <s v="SD WORX"/>
      </sharedItems>
    </cacheField>
    <cacheField name="Type" numFmtId="0">
      <sharedItems>
        <s v="Fair"/>
        <s v="Fashion"/>
        <s v="Finance"/>
        <s v="FMCG"/>
        <s v="Other"/>
        <s v="Professional Services"/>
        <s v="Tech/Telecom"/>
      </sharedItems>
    </cacheField>
    <cacheField name="Average Tempo" numFmtId="1">
      <sharedItems containsSemiMixedTypes="0" containsString="0" containsNumber="1">
        <n v="1.0"/>
        <n v="3.0"/>
        <n v="2.0"/>
        <n v="4.0"/>
        <n v="7.0"/>
        <n v="5.0"/>
        <n v="8.0"/>
        <n v="0.5"/>
        <n v="6.0"/>
        <n v="0.0"/>
      </sharedItems>
    </cacheField>
    <cacheField name="Tempo" numFmtId="1">
      <sharedItems containsSemiMixedTypes="0" containsString="0" containsNumber="1" containsInteger="1">
        <n v="1.0"/>
        <n v="3.0"/>
        <n v="2.0"/>
        <n v="4.0"/>
        <n v="7.0"/>
        <n v="5.0"/>
        <n v="8.0"/>
        <n v="6.0"/>
        <n v="0.0"/>
      </sharedItems>
    </cacheField>
    <cacheField name="Tempo Score" numFmtId="1">
      <sharedItems containsSemiMixedTypes="0" containsString="0" containsNumber="1">
        <n v="4.375"/>
        <n v="3.125"/>
        <n v="3.75"/>
        <n v="2.5"/>
        <n v="0.625"/>
        <n v="1.875"/>
        <n v="0.0"/>
        <n v="1.25"/>
        <n v="5.0"/>
      </sharedItems>
    </cacheField>
    <cacheField name="Closing" numFmtId="0">
      <sharedItems>
        <s v="No"/>
        <s v="Yes"/>
      </sharedItems>
    </cacheField>
    <cacheField name="Process" numFmtId="0">
      <sharedItems>
        <s v="Failed"/>
        <s v="Closed"/>
        <s v="Open"/>
      </sharedItems>
    </cacheField>
    <cacheField name="Number of deals closed" numFmtId="1">
      <sharedItems containsSemiMixedTypes="0" containsString="0" containsNumber="1" containsInteger="1">
        <n v="0.0"/>
        <n v="1.0"/>
        <n v="2.0"/>
      </sharedItems>
    </cacheField>
    <cacheField name="Client Budget Per Event" numFmtId="0">
      <sharedItems containsSemiMixedTypes="0" containsString="0" containsNumber="1" containsInteger="1">
        <n v="0.0"/>
        <n v="10000.0"/>
        <n v="3000.0"/>
        <n v="7000.0"/>
        <n v="60000.0"/>
        <n v="50000.0"/>
        <n v="30000.0"/>
        <n v="40000.0"/>
        <n v="80000.0"/>
        <n v="20000.0"/>
        <n v="5000.0"/>
        <n v="15000.0"/>
        <n v="25000.0"/>
      </sharedItems>
    </cacheField>
    <cacheField name="Type of assumption" numFmtId="0">
      <sharedItems>
        <s v="Confirmed"/>
        <s v="Estimated"/>
      </sharedItems>
    </cacheField>
    <cacheField name="Budget per Event Score" numFmtId="1">
      <sharedItems containsSemiMixedTypes="0" containsString="0" containsNumber="1">
        <n v="0.0"/>
        <n v="0.5"/>
        <n v="3.75"/>
        <n v="3.125"/>
        <n v="1.875"/>
        <n v="2.5"/>
        <n v="5.0"/>
        <n v="1.25"/>
        <n v="1.5625"/>
      </sharedItems>
    </cacheField>
    <cacheField name="Customization Score (5 low -1 high)" numFmtId="0">
      <sharedItems containsSemiMixedTypes="0" containsString="0" containsNumber="1" containsInteger="1">
        <n v="5.0"/>
        <n v="3.0"/>
        <n v="2.0"/>
        <n v="4.0"/>
        <n v="1.0"/>
      </sharedItems>
    </cacheField>
    <cacheField name="Accessibility" numFmtId="0">
      <sharedItems>
        <s v="C"/>
        <s v="Scout"/>
        <s v="Art Director"/>
        <s v="Scout (ma ci hanno scritto loro)"/>
        <s v="Board"/>
        <s v="C "/>
        <s v="Director"/>
        <s v="Board - C"/>
        <s v="Mid-Mng"/>
        <s v="Partner"/>
        <s v="Vice President"/>
      </sharedItems>
    </cacheField>
    <cacheField name="Accessibility Score (5 low - 1 high)" numFmtId="0">
      <sharedItems containsSemiMixedTypes="0" containsString="0" containsNumber="1" containsInteger="1">
        <n v="5.0"/>
        <n v="1.0"/>
        <n v="3.0"/>
        <n v="4.0"/>
        <n v="2.0"/>
      </sharedItems>
    </cacheField>
    <cacheField name="Receptivity Score (1 hard - 5 easy)" numFmtId="0">
      <sharedItems containsSemiMixedTypes="0" containsString="0" containsNumber="1" containsInteger="1">
        <n v="5.0"/>
        <n v="4.0"/>
        <n v="2.0"/>
        <n v="3.0"/>
        <n v="1.0"/>
      </sharedItems>
    </cacheField>
    <cacheField name="Alignment Score" numFmtId="0">
      <sharedItems containsSemiMixedTypes="0" containsString="0" containsNumber="1" containsInteger="1">
        <n v="3.0"/>
        <n v="5.0"/>
        <n v="1.0"/>
        <n v="2.0"/>
        <n v="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Brand Analysis" cacheId="0" dataOnRows="1" dataCaption="" colGrandTotals="0" compact="0" compactData="0">
  <location ref="A1:H9" firstHeaderRow="0" firstDataRow="1" firstDataCol="1"/>
  <pivotFields>
    <pivotField name="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Type" axis="axisCol" dataField="1" compact="0" outline="0" multipleItemSelectionAllowed="1" showAll="0" sortType="ascending">
      <items>
        <item x="0"/>
        <item x="1"/>
        <item x="2"/>
        <item x="3"/>
        <item x="4"/>
        <item x="5"/>
        <item x="6"/>
        <item t="default"/>
      </items>
    </pivotField>
    <pivotField name="Average Tempo" compact="0" numFmtId="1" outline="0" multipleItemSelectionAllowed="1" showAll="0">
      <items>
        <item x="0"/>
        <item x="1"/>
        <item x="2"/>
        <item x="3"/>
        <item x="4"/>
        <item x="5"/>
        <item x="6"/>
        <item x="7"/>
        <item x="8"/>
        <item x="9"/>
        <item t="default"/>
      </items>
    </pivotField>
    <pivotField name="Tempo" compact="0" numFmtId="1" outline="0" multipleItemSelectionAllowed="1" showAll="0">
      <items>
        <item x="0"/>
        <item x="1"/>
        <item x="2"/>
        <item x="3"/>
        <item x="4"/>
        <item x="5"/>
        <item x="6"/>
        <item x="7"/>
        <item x="8"/>
        <item t="default"/>
      </items>
    </pivotField>
    <pivotField name="Tempo Score" dataField="1" compact="0" numFmtId="1" outline="0" multipleItemSelectionAllowed="1" showAll="0">
      <items>
        <item x="0"/>
        <item x="1"/>
        <item x="2"/>
        <item x="3"/>
        <item x="4"/>
        <item x="5"/>
        <item x="6"/>
        <item x="7"/>
        <item x="8"/>
        <item t="default"/>
      </items>
    </pivotField>
    <pivotField name="Closing" compact="0" outline="0" multipleItemSelectionAllowed="1" showAll="0">
      <items>
        <item x="0"/>
        <item x="1"/>
        <item t="default"/>
      </items>
    </pivotField>
    <pivotField name="Process" compact="0" outline="0" multipleItemSelectionAllowed="1" showAll="0">
      <items>
        <item x="0"/>
        <item x="1"/>
        <item x="2"/>
        <item t="default"/>
      </items>
    </pivotField>
    <pivotField name="Number of deals closed" compact="0" numFmtId="1" outline="0" multipleItemSelectionAllowed="1" showAll="0">
      <items>
        <item x="0"/>
        <item x="1"/>
        <item x="2"/>
        <item t="default"/>
      </items>
    </pivotField>
    <pivotField name="Client Budget Per Event" compact="0" outline="0" multipleItemSelectionAllowed="1" showAll="0">
      <items>
        <item x="0"/>
        <item x="1"/>
        <item x="2"/>
        <item x="3"/>
        <item x="4"/>
        <item x="5"/>
        <item x="6"/>
        <item x="7"/>
        <item x="8"/>
        <item x="9"/>
        <item x="10"/>
        <item x="11"/>
        <item x="12"/>
        <item t="default"/>
      </items>
    </pivotField>
    <pivotField name="Type of assumption" compact="0" outline="0" multipleItemSelectionAllowed="1" showAll="0">
      <items>
        <item x="0"/>
        <item x="1"/>
        <item t="default"/>
      </items>
    </pivotField>
    <pivotField name="Budget per Event Score" dataField="1" compact="0" numFmtId="1" outline="0" multipleItemSelectionAllowed="1" showAll="0">
      <items>
        <item x="0"/>
        <item x="1"/>
        <item x="2"/>
        <item x="3"/>
        <item x="4"/>
        <item x="5"/>
        <item x="6"/>
        <item x="7"/>
        <item x="8"/>
        <item t="default"/>
      </items>
    </pivotField>
    <pivotField name="Customization Score (5 low -1 high)" dataField="1" compact="0" outline="0" multipleItemSelectionAllowed="1" showAll="0">
      <items>
        <item x="0"/>
        <item x="1"/>
        <item x="2"/>
        <item x="3"/>
        <item x="4"/>
        <item t="default"/>
      </items>
    </pivotField>
    <pivotField name="Accessibility" compact="0" outline="0" multipleItemSelectionAllowed="1" showAll="0">
      <items>
        <item x="0"/>
        <item x="1"/>
        <item x="2"/>
        <item x="3"/>
        <item x="4"/>
        <item x="5"/>
        <item x="6"/>
        <item x="7"/>
        <item x="8"/>
        <item x="9"/>
        <item x="10"/>
        <item t="default"/>
      </items>
    </pivotField>
    <pivotField name="Accessibility Score (5 low - 1 high)" dataField="1" compact="0" outline="0" multipleItemSelectionAllowed="1" showAll="0">
      <items>
        <item x="0"/>
        <item x="1"/>
        <item x="2"/>
        <item x="3"/>
        <item x="4"/>
        <item t="default"/>
      </items>
    </pivotField>
    <pivotField name="Receptivity Score (1 hard - 5 easy)" dataField="1" compact="0" outline="0" multipleItemSelectionAllowed="1" showAll="0">
      <items>
        <item x="0"/>
        <item x="1"/>
        <item x="2"/>
        <item x="3"/>
        <item x="4"/>
        <item t="default"/>
      </items>
    </pivotField>
    <pivotField name="Alignment Score" dataField="1" compact="0" outline="0" multipleItemSelectionAllowed="1" showAll="0">
      <items>
        <item x="0"/>
        <item x="1"/>
        <item x="2"/>
        <item x="3"/>
        <item x="4"/>
        <item t="default"/>
      </items>
    </pivotField>
  </pivotFields>
  <rowFields>
    <field x="-2"/>
  </rowFields>
  <colFields>
    <field x="1"/>
  </colFields>
  <dataFields>
    <dataField name="Budget per Event " fld="10" subtotal="average" baseField="0"/>
    <dataField name="Service" fld="11" subtotal="average" baseField="0"/>
    <dataField name="Time" fld="4" subtotal="average" baseField="0"/>
    <dataField name="Accessibility " fld="13" subtotal="average" baseField="0"/>
    <dataField name="Alignment " fld="15" subtotal="average" baseField="0"/>
    <dataField name="Receptivity " fld="14" subtotal="average" baseField="0"/>
    <dataField name="Number of Companies (opened)" fld="1" subtotal="count" baseField="0"/>
  </dataFields>
</pivotTableDefinition>
</file>

<file path=xl/tables/table1.xml><?xml version="1.0" encoding="utf-8"?>
<table xmlns="http://schemas.openxmlformats.org/spreadsheetml/2006/main" ref="A1:K65" displayName="Brands" name="Brands" id="1">
  <autoFilter ref="$A$1:$K$65"/>
  <tableColumns count="11">
    <tableColumn name="12" id="1"/>
    <tableColumn name="Status" id="2"/>
    <tableColumn name="Priority" id="3"/>
    <tableColumn name="Owner" id="4"/>
    <tableColumn name="POC" id="5"/>
    <tableColumn name="Industry" id="6"/>
    <tableColumn name="Initial contact" id="7"/>
    <tableColumn name="Last Contact" id="8"/>
    <tableColumn name="Follow Up" id="9"/>
    <tableColumn name="Closing/Failed" id="10"/>
    <tableColumn name="Notes" id="11"/>
  </tableColumns>
  <tableStyleInfo name="Brands Operative-style" showColumnStripes="0" showFirstColumn="1" showLastColumn="1" showRowStripes="1"/>
</table>
</file>

<file path=xl/tables/table2.xml><?xml version="1.0" encoding="utf-8"?>
<table xmlns="http://schemas.openxmlformats.org/spreadsheetml/2006/main" ref="A1:P46" displayName="Table1" name="Table1" id="2">
  <autoFilter ref="$A$1:$P$46"/>
  <tableColumns count="16">
    <tableColumn name="Name" id="1"/>
    <tableColumn name="Type" id="2"/>
    <tableColumn name="Average Tempo" id="3"/>
    <tableColumn name="Tempo" id="4"/>
    <tableColumn name="Tempo Score" id="5"/>
    <tableColumn name="Closing" id="6"/>
    <tableColumn name="Process" id="7"/>
    <tableColumn name="Number of deals closed" id="8"/>
    <tableColumn name="Client Budget Per Event" id="9"/>
    <tableColumn name="Type of assumption" id="10"/>
    <tableColumn name="Budget per Event Score" id="11"/>
    <tableColumn name="Customization Score (5 low -1 high)" id="12"/>
    <tableColumn name="Accessibility" id="13"/>
    <tableColumn name="Accessibility Score (5 low - 1 high)" id="14"/>
    <tableColumn name="Receptivity Score (1 hard - 5 easy)" id="15"/>
    <tableColumn name="Alignment Score" id="16"/>
  </tableColumns>
  <tableStyleInfo name="Brand Data-style" showColumnStripes="0" showFirstColumn="1" showLastColumn="1" showRowStripes="1"/>
</table>
</file>

<file path=xl/tables/table3.xml><?xml version="1.0" encoding="utf-8"?>
<table xmlns="http://schemas.openxmlformats.org/spreadsheetml/2006/main" ref="A1:I14" displayName="Event_tasks_3" name="Event_tasks_3" id="3">
  <tableColumns count="9">
    <tableColumn name="Task" id="1"/>
    <tableColumn name="Status" id="2"/>
    <tableColumn name="Priority" id="3"/>
    <tableColumn name="Owner" id="4"/>
    <tableColumn name="POC" id="5"/>
    <tableColumn name="Initial contact" id="6"/>
    <tableColumn name="Last Contact" id="7"/>
    <tableColumn name="Follow Up" id="8"/>
    <tableColumn name="Notes" id="9"/>
  </tableColumns>
  <tableStyleInfo name="AgentsAgencies-style" showColumnStripes="0" showFirstColumn="1" showLastColumn="1" showRowStripes="1"/>
</table>
</file>

<file path=xl/tables/table4.xml><?xml version="1.0" encoding="utf-8"?>
<table xmlns="http://schemas.openxmlformats.org/spreadsheetml/2006/main" ref="A1:J7" displayName="Table2" name="Table2" id="4">
  <tableColumns count="10">
    <tableColumn name="Name" id="1"/>
    <tableColumn name="Tempo" id="2"/>
    <tableColumn name="Closing" id="3"/>
    <tableColumn name="Budget" id="4"/>
    <tableColumn name="Accessibility" id="5"/>
    <tableColumn name="Receptivity" id="6"/>
    <tableColumn name="Alignment" id="7"/>
    <tableColumn name="Service" id="8"/>
    <tableColumn name="Sector" id="9"/>
    <tableColumn name="Notes" id="10"/>
  </tableColumns>
  <tableStyleInfo name="Agency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01T12:33:16.00" personId="{72cb9fa7-a0f2-41c2-ace3-a7bfd715a3e6}" id="{3fa7469c-0ac3-4802-96cd-a36f75c3163e}" done="0">
    <x18tc:text xml:space="preserve">Score calculated as below:
- They never use music or video (1)
- There is either music or video rarely present (2)
- There is either music or video sometimes present (3)
- There is either music or video most of the times present (4)
- There are music &amp; video always present (5)</x18tc:text>
  </x18tc:threadedComment>
  <x18tc:threadedComment ref="A1" dT="2026-03-31T19:14:19.00" personId="{72cb9fa7-a0f2-41c2-ace3-a7bfd715a3e6}" id="{2e4265c7-90f9-4a08-b09d-21847542421a}" done="0">
    <x18tc:text xml:space="preserve">Usiamo diversi modelli in base a quello che rispecchia i nostri parametri etici (training etico)
Control/consistency
Armani
ref sugar</x18tc:text>
  </x18tc:threadedComment>
  <x18tc:threadedComment ref="A1" dT="2026-03-31T19:17:09.00" personId="{72cb9fa7-a0f2-41c2-ace3-a7bfd715a3e6}" id="{61aaafa9-e48d-4e0b-ad26-567011bb1351}" parentId="{2e4265c7-90f9-4a08-b09d-21847542421a}">
    <x18tc:text xml:space="preserve">come facciamo a tenere la musica al centro --&gt; spiegare come</x18tc:text>
  </x18tc:threadedComment>
  <x18tc:threadedComment ref="A1" dT="2026-05-27T11:02:03.00" personId="{0f8a08de-4d04-4cd3-b7cd-4a948ac72e6e}" id="{df466674-5213-45aa-9051-da9e892b1294}" done="1">
    <x18tc:text xml:space="preserve">how easy the explanation is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 dT="2026-05-27T11:02:55.00" personId="{72cb9fa7-a0f2-41c2-ace3-a7bfd715a3e6}" id="{c46198e4-e1f0-448b-9ee2-3d3b08cf5fbd}" done="0">
    <x18tc:text xml:space="preserve">how easy is to get to the higher ranks of the company through our network or organic interest from product</x18tc:text>
  </x18tc:threadedComment>
  <x18tc:threadedComment ref="L1" dT="2026-05-27T13:12:57.00" personId="{72cb9fa7-a0f2-41c2-ace3-a7bfd715a3e6}" id="{dff0712a-75ea-4d22-89f7-b5617bd04ac9}" done="0">
    <x18tc:text xml:space="preserve">Level of tailorization required from the client. with:
5 = Catalog
4 = Catalog + creative integrazion into the brand concept
3 = Tailorization of catalog + creative Integration
2 = Tailored movie + artistic consultancy
1 =  Tailored movie + artistic consultancy + additional side products (NoWay, tailorization of tool)</x18tc:text>
  </x18tc:threadedComment>
  <x18tc:threadedComment ref="O1" dT="2026-05-27T11:02:24.00" personId="{0f8a08de-4d04-4cd3-b7cd-4a948ac72e6e}" id="{2bd1ec61-9406-4a75-8289-f5ddfceef6ab}" done="0">
    <x18tc:text xml:space="preserve">How easy the explanation is</x18tc:text>
  </x18tc:threadedComment>
  <x18tc:threadedComment ref="K1" dT="2026-05-27T10:41:04.00" personId="{0f8a08de-4d04-4cd3-b7cd-4a948ac72e6e}" id="{aa36bd84-2677-4942-82ae-40b706bd595d}" done="0">
    <x18tc:text xml:space="preserve">Score calculated on a range between 0 and 80k, with a scale 0-10, where 0 is 0 rev, but between 0 and 16k is 1.</x18tc:text>
  </x18tc:threadedComment>
  <x18tc:threadedComment ref="P1" dT="2026-05-27T11:26:25.00" personId="{0f8a08de-4d04-4cd3-b7cd-4a948ac72e6e}" id="{b07598c5-0277-4821-92d0-c7609d91ed91}" done="0">
    <x18tc:text xml:space="preserve">Alignment with main messages (1 point per section):
- Innovation at the service of human being/interaction
- Creativity/Music/Movie
- AI
- Young, Fresh, Fast startup
- Out of the box</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0" dT="2026-06-02T08:36:17.00" personId="{0f8a08de-4d04-4cd3-b7cd-4a948ac72e6e}" id="{ddd9b755-4040-4932-8c1b-35d7a57e179d}" done="1">
    <x18tc:text xml:space="preserve">80 top</x18tc:text>
  </x18tc:threadedComment>
  <x18tc:threadedComment ref="A16" dT="2026-06-02T08:47:54.00" personId="{286ce30c-5b45-402b-ade6-c0cc4a64d266}" id="{0b0e9b9b-2bb6-4b50-9fe2-a8e3735d7fa7}" done="1">
    <x18tc:text xml:space="preserve">Score calculated as below:
- They never use live music or video (1)
- There is either live music or video rarely present (2)
- There is either live music or video sometimes present (3)
- There is either live music or video most of the times present (4)
- There are live music &amp; video always present (5)</x18tc:text>
  </x18tc:threadedComment>
  <x18tc:threadedComment ref="A16" dT="2026-06-02T08:56:07.00" personId="{0f8a08de-4d04-4cd3-b7cd-4a948ac72e6e}" id="{24434529-30e1-4a46-9dc0-7636a3f0317d}" parentId="{0b0e9b9b-2bb6-4b50-9fe2-a8e3735d7fa7}">
    <x18tc:text xml:space="preserve">Score calculated as below:
- They never use live music or video (1)
- There is either live music or video sometimes present (2)
- There is either live music or video most of the times present (3)
- There are live music &amp; video with innovative solutions (4)</x18tc:text>
  </x18tc:threadedComment>
  <x18tc:threadedComment ref="A16" dT="2026-06-02T08:57:11.00" personId="{72cb9fa7-a0f2-41c2-ace3-a7bfd715a3e6}" id="{599d7832-2218-42ba-b94b-e06bdf4ae73e}" done="0">
    <x18tc:text xml:space="preserve">Score calculated as below:
- They never use music or video (1)
- There is either music or video rarely present (2)
- There is either music or video sometimes present (3)
- There is either music or video most of the times present (4)
- There are music &amp; video always present (5)</x18tc:text>
  </x18tc:threadedComment>
  <x18tc:threadedComment ref="D10" dT="2026-06-02T08:37:49.00" personId="{0f8a08de-4d04-4cd3-b7cd-4a948ac72e6e}" id="{62c15fcf-1325-41a6-ab43-77556c496b29}" done="0">
    <x18tc:text xml:space="preserve">80 top</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mailto:riccardo@ooviestudios.com" TargetMode="External"/><Relationship Id="rId42" Type="http://schemas.openxmlformats.org/officeDocument/2006/relationships/hyperlink" Target="mailto:riccardo@ooviestudios.com" TargetMode="External"/><Relationship Id="rId41" Type="http://schemas.openxmlformats.org/officeDocument/2006/relationships/hyperlink" Target="mailto:giulio@ooviestudios.com" TargetMode="External"/><Relationship Id="rId44" Type="http://schemas.openxmlformats.org/officeDocument/2006/relationships/hyperlink" Target="mailto:giulio@ooviestudios.com" TargetMode="External"/><Relationship Id="rId43" Type="http://schemas.openxmlformats.org/officeDocument/2006/relationships/hyperlink" Target="mailto:riccardo@ooviestudios.com" TargetMode="External"/><Relationship Id="rId46" Type="http://schemas.openxmlformats.org/officeDocument/2006/relationships/hyperlink" Target="mailto:riccardo@ooviestudios.com" TargetMode="External"/><Relationship Id="rId45" Type="http://schemas.openxmlformats.org/officeDocument/2006/relationships/hyperlink" Target="mailto:marco@ooviestudios.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riccardo@ooviestudios.com" TargetMode="External"/><Relationship Id="rId9" Type="http://schemas.openxmlformats.org/officeDocument/2006/relationships/hyperlink" Target="mailto:riccardo@ooviestudios.com" TargetMode="External"/><Relationship Id="rId48" Type="http://schemas.openxmlformats.org/officeDocument/2006/relationships/hyperlink" Target="mailto:riccardo@ooviestudios.com" TargetMode="External"/><Relationship Id="rId47" Type="http://schemas.openxmlformats.org/officeDocument/2006/relationships/hyperlink" Target="mailto:riccardo@ooviestudios.com" TargetMode="External"/><Relationship Id="rId49" Type="http://schemas.openxmlformats.org/officeDocument/2006/relationships/hyperlink" Target="mailto:marco@ooviestudios.com" TargetMode="External"/><Relationship Id="rId5" Type="http://schemas.openxmlformats.org/officeDocument/2006/relationships/hyperlink" Target="mailto:riccardo@ooviestudios.com" TargetMode="External"/><Relationship Id="rId6" Type="http://schemas.openxmlformats.org/officeDocument/2006/relationships/hyperlink" Target="mailto:riccardo@ooviestudios.com" TargetMode="External"/><Relationship Id="rId7" Type="http://schemas.openxmlformats.org/officeDocument/2006/relationships/hyperlink" Target="mailto:giulio@ooviestudios.com" TargetMode="External"/><Relationship Id="rId8" Type="http://schemas.openxmlformats.org/officeDocument/2006/relationships/hyperlink" Target="mailto:riccardo@ooviestudios.com" TargetMode="External"/><Relationship Id="rId72" Type="http://schemas.openxmlformats.org/officeDocument/2006/relationships/table" Target="../tables/table1.xml"/><Relationship Id="rId31" Type="http://schemas.openxmlformats.org/officeDocument/2006/relationships/hyperlink" Target="mailto:marco@ooviestudios.com" TargetMode="External"/><Relationship Id="rId30" Type="http://schemas.openxmlformats.org/officeDocument/2006/relationships/hyperlink" Target="mailto:riccardo@ooviestudios.com" TargetMode="External"/><Relationship Id="rId33" Type="http://schemas.openxmlformats.org/officeDocument/2006/relationships/hyperlink" Target="mailto:giulio@ooviestudios.com" TargetMode="External"/><Relationship Id="rId32" Type="http://schemas.openxmlformats.org/officeDocument/2006/relationships/hyperlink" Target="mailto:riccardo@ooviestudios.com" TargetMode="External"/><Relationship Id="rId35" Type="http://schemas.openxmlformats.org/officeDocument/2006/relationships/hyperlink" Target="mailto:riccardo@ooviestudios.com" TargetMode="External"/><Relationship Id="rId34" Type="http://schemas.openxmlformats.org/officeDocument/2006/relationships/hyperlink" Target="mailto:riccardo@ooviestudios.com" TargetMode="External"/><Relationship Id="rId70" Type="http://schemas.openxmlformats.org/officeDocument/2006/relationships/vmlDrawing" Target="../drawings/vmlDrawing1.vml"/><Relationship Id="rId37" Type="http://schemas.openxmlformats.org/officeDocument/2006/relationships/hyperlink" Target="mailto:giulio@ooviestudios.com" TargetMode="External"/><Relationship Id="rId36" Type="http://schemas.openxmlformats.org/officeDocument/2006/relationships/hyperlink" Target="mailto:riccardo@ooviestudios.com" TargetMode="External"/><Relationship Id="rId39" Type="http://schemas.openxmlformats.org/officeDocument/2006/relationships/hyperlink" Target="mailto:marco@ooviestudios.com" TargetMode="External"/><Relationship Id="rId38" Type="http://schemas.openxmlformats.org/officeDocument/2006/relationships/hyperlink" Target="mailto:riccardo@ooviestudios.com" TargetMode="External"/><Relationship Id="rId62" Type="http://schemas.openxmlformats.org/officeDocument/2006/relationships/hyperlink" Target="mailto:riccardo@ooviestudios.com" TargetMode="External"/><Relationship Id="rId61" Type="http://schemas.openxmlformats.org/officeDocument/2006/relationships/hyperlink" Target="mailto:riccardo@ooviestudios.com" TargetMode="External"/><Relationship Id="rId20" Type="http://schemas.openxmlformats.org/officeDocument/2006/relationships/hyperlink" Target="mailto:riccardo@ooviestudios.com" TargetMode="External"/><Relationship Id="rId64" Type="http://schemas.openxmlformats.org/officeDocument/2006/relationships/hyperlink" Target="mailto:giulio@ooviestudios.com" TargetMode="External"/><Relationship Id="rId63" Type="http://schemas.openxmlformats.org/officeDocument/2006/relationships/hyperlink" Target="mailto:riccardo@ooviestudios.com" TargetMode="External"/><Relationship Id="rId22" Type="http://schemas.openxmlformats.org/officeDocument/2006/relationships/hyperlink" Target="mailto:marco@ooviestudios.com" TargetMode="External"/><Relationship Id="rId66" Type="http://schemas.openxmlformats.org/officeDocument/2006/relationships/hyperlink" Target="mailto:marco@ooviestudios.com" TargetMode="External"/><Relationship Id="rId21" Type="http://schemas.openxmlformats.org/officeDocument/2006/relationships/hyperlink" Target="mailto:giulio@ooviestudios.com" TargetMode="External"/><Relationship Id="rId65" Type="http://schemas.openxmlformats.org/officeDocument/2006/relationships/hyperlink" Target="mailto:marco@ooviestudios.com" TargetMode="External"/><Relationship Id="rId24" Type="http://schemas.openxmlformats.org/officeDocument/2006/relationships/hyperlink" Target="mailto:riccardo@ooviestudios.com" TargetMode="External"/><Relationship Id="rId68" Type="http://schemas.openxmlformats.org/officeDocument/2006/relationships/hyperlink" Target="mailto:riccardo@ooviestudios.com" TargetMode="External"/><Relationship Id="rId23" Type="http://schemas.openxmlformats.org/officeDocument/2006/relationships/hyperlink" Target="mailto:giulio@ooviestudios.com" TargetMode="External"/><Relationship Id="rId67" Type="http://schemas.openxmlformats.org/officeDocument/2006/relationships/hyperlink" Target="http://ypo.org/" TargetMode="External"/><Relationship Id="rId60" Type="http://schemas.openxmlformats.org/officeDocument/2006/relationships/hyperlink" Target="mailto:lorenzo@ooviestudios.com" TargetMode="External"/><Relationship Id="rId26" Type="http://schemas.openxmlformats.org/officeDocument/2006/relationships/hyperlink" Target="mailto:giulio@ooviestudios.com" TargetMode="External"/><Relationship Id="rId25" Type="http://schemas.openxmlformats.org/officeDocument/2006/relationships/hyperlink" Target="mailto:lorenzo@ooviestudios.com" TargetMode="External"/><Relationship Id="rId69" Type="http://schemas.openxmlformats.org/officeDocument/2006/relationships/drawing" Target="../drawings/drawing1.xml"/><Relationship Id="rId28" Type="http://schemas.openxmlformats.org/officeDocument/2006/relationships/hyperlink" Target="mailto:riccardo@ooviestudios.com" TargetMode="External"/><Relationship Id="rId27" Type="http://schemas.openxmlformats.org/officeDocument/2006/relationships/hyperlink" Target="mailto:riccardo@ooviestudios.com" TargetMode="External"/><Relationship Id="rId29" Type="http://schemas.openxmlformats.org/officeDocument/2006/relationships/hyperlink" Target="mailto:riccardo@ooviestudios.com" TargetMode="External"/><Relationship Id="rId51" Type="http://schemas.openxmlformats.org/officeDocument/2006/relationships/hyperlink" Target="mailto:giulio@ooviestudios.com" TargetMode="External"/><Relationship Id="rId50" Type="http://schemas.openxmlformats.org/officeDocument/2006/relationships/hyperlink" Target="mailto:riccardo@ooviestudios.com" TargetMode="External"/><Relationship Id="rId53" Type="http://schemas.openxmlformats.org/officeDocument/2006/relationships/hyperlink" Target="mailto:riccardo@ooviestudios.com" TargetMode="External"/><Relationship Id="rId52" Type="http://schemas.openxmlformats.org/officeDocument/2006/relationships/hyperlink" Target="mailto:riccardo@ooviestudios.com" TargetMode="External"/><Relationship Id="rId11" Type="http://schemas.openxmlformats.org/officeDocument/2006/relationships/hyperlink" Target="mailto:riccardo@ooviestudios.com" TargetMode="External"/><Relationship Id="rId55" Type="http://schemas.openxmlformats.org/officeDocument/2006/relationships/hyperlink" Target="mailto:marco@ooviestudios.com" TargetMode="External"/><Relationship Id="rId10" Type="http://schemas.openxmlformats.org/officeDocument/2006/relationships/hyperlink" Target="mailto:riccardo@ooviestudios.com" TargetMode="External"/><Relationship Id="rId54" Type="http://schemas.openxmlformats.org/officeDocument/2006/relationships/hyperlink" Target="mailto:marco@ooviestudios.com" TargetMode="External"/><Relationship Id="rId13" Type="http://schemas.openxmlformats.org/officeDocument/2006/relationships/hyperlink" Target="mailto:lorenzo@ooviestudios.com" TargetMode="External"/><Relationship Id="rId57" Type="http://schemas.openxmlformats.org/officeDocument/2006/relationships/hyperlink" Target="mailto:riccardo@ooviestudios.com" TargetMode="External"/><Relationship Id="rId12" Type="http://schemas.openxmlformats.org/officeDocument/2006/relationships/hyperlink" Target="mailto:lorenzo@ooviestudios.com" TargetMode="External"/><Relationship Id="rId56" Type="http://schemas.openxmlformats.org/officeDocument/2006/relationships/hyperlink" Target="mailto:marco@ooviestudios.com" TargetMode="External"/><Relationship Id="rId15" Type="http://schemas.openxmlformats.org/officeDocument/2006/relationships/hyperlink" Target="mailto:riccardo@ooviestudios.com" TargetMode="External"/><Relationship Id="rId59" Type="http://schemas.openxmlformats.org/officeDocument/2006/relationships/hyperlink" Target="mailto:marco@ooviestudios.com" TargetMode="External"/><Relationship Id="rId14" Type="http://schemas.openxmlformats.org/officeDocument/2006/relationships/hyperlink" Target="mailto:riccardo@ooviestudios.com" TargetMode="External"/><Relationship Id="rId58" Type="http://schemas.openxmlformats.org/officeDocument/2006/relationships/hyperlink" Target="mailto:riccardo@ooviestudios.com" TargetMode="External"/><Relationship Id="rId17" Type="http://schemas.openxmlformats.org/officeDocument/2006/relationships/hyperlink" Target="mailto:riccardo@ooviestudios.com" TargetMode="External"/><Relationship Id="rId16" Type="http://schemas.openxmlformats.org/officeDocument/2006/relationships/hyperlink" Target="mailto:riccardo@ooviestudios.com" TargetMode="External"/><Relationship Id="rId19" Type="http://schemas.openxmlformats.org/officeDocument/2006/relationships/hyperlink" Target="mailto:riccardo@ooviestudios.com" TargetMode="External"/><Relationship Id="rId18" Type="http://schemas.openxmlformats.org/officeDocument/2006/relationships/hyperlink" Target="mailto:riccardo@ooviestudios.com"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pivotTable" Target="../pivotTables/pivotTable1.xm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lorenzo@ooviestudios.com" TargetMode="External"/><Relationship Id="rId2" Type="http://schemas.openxmlformats.org/officeDocument/2006/relationships/hyperlink" Target="mailto:riccardo@ooviestudios.com" TargetMode="External"/><Relationship Id="rId3" Type="http://schemas.openxmlformats.org/officeDocument/2006/relationships/hyperlink" Target="mailto:lorenzo@ooviestudios.com" TargetMode="External"/><Relationship Id="rId4" Type="http://schemas.openxmlformats.org/officeDocument/2006/relationships/hyperlink" Target="mailto:riccardo@ooviestudios.com" TargetMode="External"/><Relationship Id="rId9" Type="http://schemas.openxmlformats.org/officeDocument/2006/relationships/hyperlink" Target="mailto:riccardo@ooviestudios.com" TargetMode="External"/><Relationship Id="rId5" Type="http://schemas.openxmlformats.org/officeDocument/2006/relationships/hyperlink" Target="mailto:riccardo@ooviestudios.com" TargetMode="External"/><Relationship Id="rId6" Type="http://schemas.openxmlformats.org/officeDocument/2006/relationships/hyperlink" Target="mailto:riccardo@ooviestudios.com" TargetMode="External"/><Relationship Id="rId7" Type="http://schemas.openxmlformats.org/officeDocument/2006/relationships/hyperlink" Target="mailto:riccardo@ooviestudios.com" TargetMode="External"/><Relationship Id="rId8" Type="http://schemas.openxmlformats.org/officeDocument/2006/relationships/hyperlink" Target="mailto:riccardo@ooviestudios.com" TargetMode="External"/><Relationship Id="rId11" Type="http://schemas.openxmlformats.org/officeDocument/2006/relationships/hyperlink" Target="mailto:riccardo@ooviestudios.com" TargetMode="External"/><Relationship Id="rId10" Type="http://schemas.openxmlformats.org/officeDocument/2006/relationships/hyperlink" Target="mailto:riccardo@ooviestudios.com" TargetMode="External"/><Relationship Id="rId13" Type="http://schemas.openxmlformats.org/officeDocument/2006/relationships/hyperlink" Target="mailto:riccardo@ooviestudios.com" TargetMode="External"/><Relationship Id="rId12" Type="http://schemas.openxmlformats.org/officeDocument/2006/relationships/hyperlink" Target="mailto:riccardo@ooviestudios.com" TargetMode="External"/><Relationship Id="rId14" Type="http://schemas.openxmlformats.org/officeDocument/2006/relationships/drawing" Target="../drawings/drawing5.xml"/><Relationship Id="rId16"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0.13"/>
    <col customWidth="1" min="2" max="9" width="22.63"/>
    <col customWidth="1" min="10" max="12" width="29.5"/>
  </cols>
  <sheetData>
    <row r="1" ht="22.5" customHeight="1">
      <c r="A1" s="1" t="s">
        <v>0</v>
      </c>
      <c r="B1" s="2" t="s">
        <v>1</v>
      </c>
      <c r="C1" s="2" t="s">
        <v>2</v>
      </c>
      <c r="D1" s="2" t="s">
        <v>3</v>
      </c>
      <c r="E1" s="2" t="s">
        <v>4</v>
      </c>
      <c r="F1" s="2" t="s">
        <v>5</v>
      </c>
      <c r="G1" s="3" t="s">
        <v>6</v>
      </c>
      <c r="H1" s="2" t="s">
        <v>7</v>
      </c>
      <c r="I1" s="2" t="s">
        <v>8</v>
      </c>
      <c r="J1" s="4" t="s">
        <v>9</v>
      </c>
      <c r="K1" s="2" t="s">
        <v>10</v>
      </c>
    </row>
    <row r="2" ht="22.5" customHeight="1">
      <c r="A2" s="5" t="s">
        <v>11</v>
      </c>
      <c r="B2" s="6" t="s">
        <v>12</v>
      </c>
      <c r="C2" s="6" t="s">
        <v>13</v>
      </c>
      <c r="D2" s="7" t="s">
        <v>14</v>
      </c>
      <c r="E2" s="8" t="s">
        <v>15</v>
      </c>
      <c r="F2" s="6" t="s">
        <v>16</v>
      </c>
      <c r="G2" s="9">
        <v>46182.0</v>
      </c>
      <c r="H2" s="10">
        <v>46185.0</v>
      </c>
      <c r="I2" s="11">
        <v>46189.0</v>
      </c>
      <c r="J2" s="9">
        <v>46183.0</v>
      </c>
      <c r="K2" s="12"/>
    </row>
    <row r="3" ht="22.5" customHeight="1">
      <c r="A3" s="8" t="s">
        <v>17</v>
      </c>
      <c r="B3" s="6" t="s">
        <v>8</v>
      </c>
      <c r="C3" s="6" t="s">
        <v>13</v>
      </c>
      <c r="D3" s="13" t="s">
        <v>14</v>
      </c>
      <c r="E3" s="14"/>
      <c r="F3" s="6" t="s">
        <v>18</v>
      </c>
      <c r="G3" s="15">
        <v>45986.0</v>
      </c>
      <c r="H3" s="16">
        <v>46155.0</v>
      </c>
      <c r="I3" s="11"/>
      <c r="J3" s="17"/>
      <c r="K3" s="5" t="s">
        <v>19</v>
      </c>
    </row>
    <row r="4" ht="22.5" customHeight="1">
      <c r="A4" s="5" t="s">
        <v>20</v>
      </c>
      <c r="B4" s="6" t="s">
        <v>21</v>
      </c>
      <c r="C4" s="6" t="s">
        <v>22</v>
      </c>
      <c r="D4" s="13" t="s">
        <v>14</v>
      </c>
      <c r="E4" s="8" t="s">
        <v>23</v>
      </c>
      <c r="F4" s="6" t="s">
        <v>18</v>
      </c>
      <c r="G4" s="18">
        <v>45670.0</v>
      </c>
      <c r="H4" s="10">
        <v>46109.0</v>
      </c>
      <c r="I4" s="11">
        <v>46120.0</v>
      </c>
      <c r="J4" s="19"/>
      <c r="K4" s="5" t="s">
        <v>24</v>
      </c>
    </row>
    <row r="5" ht="22.5" customHeight="1">
      <c r="A5" s="5" t="s">
        <v>25</v>
      </c>
      <c r="B5" s="6" t="s">
        <v>21</v>
      </c>
      <c r="C5" s="6" t="s">
        <v>22</v>
      </c>
      <c r="D5" s="13" t="s">
        <v>26</v>
      </c>
      <c r="E5" s="8" t="s">
        <v>27</v>
      </c>
      <c r="F5" s="6" t="s">
        <v>18</v>
      </c>
      <c r="G5" s="20">
        <v>45981.0</v>
      </c>
      <c r="H5" s="10">
        <v>46155.0</v>
      </c>
      <c r="I5" s="15">
        <v>46167.0</v>
      </c>
      <c r="J5" s="21"/>
      <c r="K5" s="12"/>
    </row>
    <row r="6" ht="22.5" customHeight="1">
      <c r="A6" s="5" t="s">
        <v>28</v>
      </c>
      <c r="B6" s="6" t="s">
        <v>29</v>
      </c>
      <c r="C6" s="6" t="s">
        <v>30</v>
      </c>
      <c r="D6" s="7" t="s">
        <v>14</v>
      </c>
      <c r="E6" s="8" t="s">
        <v>31</v>
      </c>
      <c r="F6" s="6" t="s">
        <v>18</v>
      </c>
      <c r="G6" s="22" t="s">
        <v>32</v>
      </c>
      <c r="H6" s="23"/>
      <c r="I6" s="11"/>
      <c r="J6" s="24"/>
      <c r="K6" s="5"/>
    </row>
    <row r="7" ht="22.5" customHeight="1">
      <c r="A7" s="5" t="s">
        <v>33</v>
      </c>
      <c r="B7" s="6" t="s">
        <v>34</v>
      </c>
      <c r="C7" s="6" t="s">
        <v>13</v>
      </c>
      <c r="D7" s="13" t="s">
        <v>14</v>
      </c>
      <c r="E7" s="8" t="s">
        <v>35</v>
      </c>
      <c r="F7" s="6" t="s">
        <v>36</v>
      </c>
      <c r="G7" s="20">
        <v>45823.0</v>
      </c>
      <c r="H7" s="10">
        <v>46109.0</v>
      </c>
      <c r="I7" s="25"/>
      <c r="J7" s="26"/>
      <c r="K7" s="5" t="s">
        <v>37</v>
      </c>
    </row>
    <row r="8" ht="22.5" customHeight="1">
      <c r="A8" s="5" t="s">
        <v>38</v>
      </c>
      <c r="B8" s="6" t="s">
        <v>29</v>
      </c>
      <c r="C8" s="6" t="s">
        <v>30</v>
      </c>
      <c r="D8" s="7" t="s">
        <v>14</v>
      </c>
      <c r="E8" s="8" t="s">
        <v>31</v>
      </c>
      <c r="F8" s="6" t="s">
        <v>18</v>
      </c>
      <c r="G8" s="22" t="s">
        <v>32</v>
      </c>
      <c r="H8" s="23"/>
      <c r="I8" s="11"/>
      <c r="J8" s="17"/>
      <c r="K8" s="5"/>
    </row>
    <row r="9" ht="22.5" customHeight="1">
      <c r="A9" s="5" t="s">
        <v>39</v>
      </c>
      <c r="B9" s="6" t="s">
        <v>29</v>
      </c>
      <c r="C9" s="6" t="s">
        <v>30</v>
      </c>
      <c r="D9" s="7" t="s">
        <v>14</v>
      </c>
      <c r="E9" s="8" t="s">
        <v>31</v>
      </c>
      <c r="F9" s="6" t="s">
        <v>18</v>
      </c>
      <c r="G9" s="27" t="s">
        <v>32</v>
      </c>
      <c r="H9" s="23"/>
      <c r="I9" s="11"/>
      <c r="J9" s="26"/>
      <c r="K9" s="5"/>
    </row>
    <row r="10" ht="22.5" customHeight="1">
      <c r="A10" s="8" t="s">
        <v>40</v>
      </c>
      <c r="B10" s="6" t="s">
        <v>29</v>
      </c>
      <c r="C10" s="6" t="s">
        <v>30</v>
      </c>
      <c r="D10" s="13" t="s">
        <v>41</v>
      </c>
      <c r="E10" s="8" t="s">
        <v>42</v>
      </c>
      <c r="F10" s="6" t="s">
        <v>43</v>
      </c>
      <c r="G10" s="27" t="s">
        <v>32</v>
      </c>
      <c r="H10" s="10"/>
      <c r="I10" s="11"/>
      <c r="J10" s="28"/>
      <c r="K10" s="5" t="s">
        <v>44</v>
      </c>
    </row>
    <row r="11" ht="22.5" customHeight="1">
      <c r="A11" s="29" t="s">
        <v>45</v>
      </c>
      <c r="B11" s="30" t="s">
        <v>46</v>
      </c>
      <c r="C11" s="30" t="s">
        <v>13</v>
      </c>
      <c r="D11" s="31" t="s">
        <v>41</v>
      </c>
      <c r="E11" s="29" t="s">
        <v>47</v>
      </c>
      <c r="F11" s="30" t="s">
        <v>43</v>
      </c>
      <c r="G11" s="32">
        <v>45999.0</v>
      </c>
      <c r="H11" s="33">
        <v>46123.0</v>
      </c>
      <c r="I11" s="34">
        <v>46115.0</v>
      </c>
      <c r="J11" s="35">
        <v>46108.0</v>
      </c>
      <c r="K11" s="36" t="s">
        <v>48</v>
      </c>
    </row>
    <row r="12" ht="22.5" customHeight="1">
      <c r="A12" s="29" t="s">
        <v>49</v>
      </c>
      <c r="B12" s="30" t="s">
        <v>21</v>
      </c>
      <c r="C12" s="30" t="s">
        <v>22</v>
      </c>
      <c r="D12" s="31" t="s">
        <v>14</v>
      </c>
      <c r="E12" s="29" t="s">
        <v>50</v>
      </c>
      <c r="F12" s="30" t="s">
        <v>51</v>
      </c>
      <c r="G12" s="37">
        <v>46100.0</v>
      </c>
      <c r="H12" s="33">
        <v>46109.0</v>
      </c>
      <c r="I12" s="34">
        <v>46114.0</v>
      </c>
      <c r="J12" s="38"/>
      <c r="K12" s="36" t="s">
        <v>52</v>
      </c>
    </row>
    <row r="13" ht="22.5" customHeight="1">
      <c r="A13" s="8" t="s">
        <v>53</v>
      </c>
      <c r="B13" s="6" t="s">
        <v>21</v>
      </c>
      <c r="C13" s="6" t="s">
        <v>22</v>
      </c>
      <c r="D13" s="13" t="s">
        <v>14</v>
      </c>
      <c r="E13" s="8" t="s">
        <v>54</v>
      </c>
      <c r="F13" s="6" t="s">
        <v>18</v>
      </c>
      <c r="G13" s="39">
        <v>46083.0</v>
      </c>
      <c r="H13" s="10">
        <v>46113.0</v>
      </c>
      <c r="I13" s="11">
        <v>46118.0</v>
      </c>
      <c r="J13" s="19"/>
      <c r="K13" s="5" t="s">
        <v>55</v>
      </c>
    </row>
    <row r="14" ht="22.5" customHeight="1">
      <c r="A14" s="36" t="s">
        <v>56</v>
      </c>
      <c r="B14" s="30" t="s">
        <v>21</v>
      </c>
      <c r="C14" s="30" t="s">
        <v>22</v>
      </c>
      <c r="D14" s="40" t="s">
        <v>14</v>
      </c>
      <c r="E14" s="29" t="s">
        <v>57</v>
      </c>
      <c r="F14" s="30" t="s">
        <v>18</v>
      </c>
      <c r="G14" s="41">
        <v>46160.0</v>
      </c>
      <c r="H14" s="10">
        <v>46183.0</v>
      </c>
      <c r="I14" s="34"/>
      <c r="J14" s="42"/>
      <c r="K14" s="36" t="s">
        <v>58</v>
      </c>
    </row>
    <row r="15" ht="22.5" customHeight="1">
      <c r="A15" s="43" t="s">
        <v>59</v>
      </c>
      <c r="B15" s="6" t="s">
        <v>34</v>
      </c>
      <c r="C15" s="6" t="s">
        <v>22</v>
      </c>
      <c r="D15" s="13" t="s">
        <v>14</v>
      </c>
      <c r="E15" s="14"/>
      <c r="F15" s="6" t="s">
        <v>60</v>
      </c>
      <c r="G15" s="15">
        <v>45818.0</v>
      </c>
      <c r="H15" s="10"/>
      <c r="I15" s="25"/>
      <c r="J15" s="9">
        <v>45879.0</v>
      </c>
      <c r="K15" s="12"/>
    </row>
    <row r="16" ht="22.5" customHeight="1">
      <c r="A16" s="8" t="s">
        <v>61</v>
      </c>
      <c r="B16" s="6" t="s">
        <v>62</v>
      </c>
      <c r="C16" s="6" t="s">
        <v>22</v>
      </c>
      <c r="D16" s="13" t="s">
        <v>14</v>
      </c>
      <c r="E16" s="8" t="s">
        <v>63</v>
      </c>
      <c r="F16" s="6" t="s">
        <v>36</v>
      </c>
      <c r="G16" s="39">
        <v>46084.0</v>
      </c>
      <c r="H16" s="44">
        <v>46148.0</v>
      </c>
      <c r="I16" s="11">
        <v>46193.0</v>
      </c>
      <c r="J16" s="28"/>
      <c r="K16" s="5" t="s">
        <v>64</v>
      </c>
    </row>
    <row r="17" ht="22.5" customHeight="1">
      <c r="A17" s="5" t="s">
        <v>65</v>
      </c>
      <c r="B17" s="6" t="s">
        <v>34</v>
      </c>
      <c r="C17" s="6" t="s">
        <v>30</v>
      </c>
      <c r="D17" s="7" t="s">
        <v>14</v>
      </c>
      <c r="E17" s="14"/>
      <c r="F17" s="6" t="s">
        <v>43</v>
      </c>
      <c r="G17" s="15">
        <v>45853.0</v>
      </c>
      <c r="H17" s="44">
        <v>46128.0</v>
      </c>
      <c r="I17" s="25"/>
      <c r="J17" s="9">
        <v>45748.0</v>
      </c>
      <c r="K17" s="12"/>
    </row>
    <row r="18" ht="22.5" customHeight="1">
      <c r="A18" s="5" t="s">
        <v>66</v>
      </c>
      <c r="B18" s="6" t="s">
        <v>29</v>
      </c>
      <c r="C18" s="6" t="s">
        <v>30</v>
      </c>
      <c r="D18" s="7" t="s">
        <v>14</v>
      </c>
      <c r="E18" s="8" t="s">
        <v>67</v>
      </c>
      <c r="F18" s="6" t="s">
        <v>18</v>
      </c>
      <c r="G18" s="45" t="s">
        <v>32</v>
      </c>
      <c r="H18" s="23"/>
      <c r="I18" s="11"/>
      <c r="J18" s="17"/>
      <c r="K18" s="5"/>
    </row>
    <row r="19" ht="22.5" customHeight="1">
      <c r="A19" s="8" t="s">
        <v>68</v>
      </c>
      <c r="B19" s="6" t="s">
        <v>62</v>
      </c>
      <c r="C19" s="6" t="s">
        <v>13</v>
      </c>
      <c r="D19" s="13" t="s">
        <v>26</v>
      </c>
      <c r="E19" s="8" t="s">
        <v>69</v>
      </c>
      <c r="F19" s="6" t="s">
        <v>16</v>
      </c>
      <c r="G19" s="46">
        <v>46100.0</v>
      </c>
      <c r="H19" s="16">
        <v>46185.0</v>
      </c>
      <c r="I19" s="11">
        <v>46190.0</v>
      </c>
      <c r="J19" s="47"/>
      <c r="K19" s="5" t="s">
        <v>70</v>
      </c>
    </row>
    <row r="20" ht="22.5" customHeight="1">
      <c r="A20" s="5" t="s">
        <v>71</v>
      </c>
      <c r="B20" s="6" t="s">
        <v>46</v>
      </c>
      <c r="C20" s="6" t="s">
        <v>30</v>
      </c>
      <c r="D20" s="7" t="s">
        <v>72</v>
      </c>
      <c r="E20" s="14"/>
      <c r="F20" s="6" t="s">
        <v>73</v>
      </c>
      <c r="G20" s="48">
        <v>45778.0</v>
      </c>
      <c r="H20" s="10">
        <v>46122.0</v>
      </c>
      <c r="I20" s="25"/>
      <c r="J20" s="49"/>
      <c r="K20" s="12"/>
    </row>
    <row r="21" ht="22.5" customHeight="1">
      <c r="A21" s="5" t="s">
        <v>74</v>
      </c>
      <c r="B21" s="6" t="s">
        <v>46</v>
      </c>
      <c r="C21" s="6" t="s">
        <v>30</v>
      </c>
      <c r="D21" s="13" t="s">
        <v>26</v>
      </c>
      <c r="E21" s="8" t="s">
        <v>75</v>
      </c>
      <c r="F21" s="6" t="s">
        <v>76</v>
      </c>
      <c r="G21" s="15">
        <v>46072.0</v>
      </c>
      <c r="H21" s="10">
        <v>46111.0</v>
      </c>
      <c r="I21" s="11"/>
      <c r="J21" s="9">
        <v>46111.0</v>
      </c>
      <c r="K21" s="5" t="s">
        <v>77</v>
      </c>
    </row>
    <row r="22" ht="22.5" customHeight="1">
      <c r="A22" s="8" t="s">
        <v>78</v>
      </c>
      <c r="B22" s="6" t="s">
        <v>34</v>
      </c>
      <c r="C22" s="6" t="s">
        <v>13</v>
      </c>
      <c r="D22" s="13" t="s">
        <v>14</v>
      </c>
      <c r="E22" s="14"/>
      <c r="F22" s="6" t="s">
        <v>16</v>
      </c>
      <c r="G22" s="39">
        <v>46008.0</v>
      </c>
      <c r="H22" s="10">
        <v>46167.0</v>
      </c>
      <c r="I22" s="11">
        <v>46190.0</v>
      </c>
      <c r="J22" s="50">
        <f>TODAY()</f>
        <v>46212</v>
      </c>
      <c r="K22" s="5" t="s">
        <v>79</v>
      </c>
    </row>
    <row r="23" ht="22.5" customHeight="1">
      <c r="A23" s="5" t="s">
        <v>80</v>
      </c>
      <c r="B23" s="6" t="s">
        <v>12</v>
      </c>
      <c r="C23" s="6" t="s">
        <v>30</v>
      </c>
      <c r="D23" s="7" t="s">
        <v>41</v>
      </c>
      <c r="E23" s="8"/>
      <c r="F23" s="6" t="s">
        <v>76</v>
      </c>
      <c r="G23" s="39">
        <v>46133.0</v>
      </c>
      <c r="H23" s="23">
        <v>46133.0</v>
      </c>
      <c r="I23" s="11">
        <v>46137.0</v>
      </c>
      <c r="J23" s="51">
        <v>46149.0</v>
      </c>
      <c r="K23" s="5" t="s">
        <v>81</v>
      </c>
    </row>
    <row r="24" ht="22.5" customHeight="1">
      <c r="A24" s="5" t="s">
        <v>82</v>
      </c>
      <c r="B24" s="6" t="s">
        <v>29</v>
      </c>
      <c r="C24" s="6" t="s">
        <v>13</v>
      </c>
      <c r="D24" s="7" t="s">
        <v>26</v>
      </c>
      <c r="E24" s="14"/>
      <c r="F24" s="6" t="s">
        <v>60</v>
      </c>
      <c r="G24" s="27" t="s">
        <v>32</v>
      </c>
      <c r="H24" s="10"/>
      <c r="I24" s="25"/>
      <c r="J24" s="49"/>
      <c r="K24" s="12"/>
    </row>
    <row r="25" ht="22.5" customHeight="1">
      <c r="A25" s="36" t="s">
        <v>83</v>
      </c>
      <c r="B25" s="30" t="s">
        <v>46</v>
      </c>
      <c r="C25" s="30" t="s">
        <v>30</v>
      </c>
      <c r="D25" s="31" t="s">
        <v>14</v>
      </c>
      <c r="E25" s="29" t="s">
        <v>84</v>
      </c>
      <c r="F25" s="30" t="s">
        <v>18</v>
      </c>
      <c r="G25" s="41">
        <v>45799.0</v>
      </c>
      <c r="H25" s="52">
        <v>46116.0</v>
      </c>
      <c r="I25" s="53"/>
      <c r="J25" s="37">
        <v>46127.0</v>
      </c>
      <c r="K25" s="54"/>
    </row>
    <row r="26" ht="22.5" customHeight="1">
      <c r="A26" s="5" t="s">
        <v>85</v>
      </c>
      <c r="B26" s="6" t="s">
        <v>46</v>
      </c>
      <c r="C26" s="6" t="s">
        <v>30</v>
      </c>
      <c r="D26" s="13" t="s">
        <v>14</v>
      </c>
      <c r="E26" s="14"/>
      <c r="F26" s="6" t="s">
        <v>16</v>
      </c>
      <c r="G26" s="15">
        <v>46068.0</v>
      </c>
      <c r="H26" s="44">
        <v>46139.0</v>
      </c>
      <c r="I26" s="25"/>
      <c r="J26" s="48">
        <v>46139.0</v>
      </c>
      <c r="K26" s="12"/>
    </row>
    <row r="27" ht="22.5" customHeight="1">
      <c r="A27" s="43" t="s">
        <v>86</v>
      </c>
      <c r="B27" s="6" t="s">
        <v>8</v>
      </c>
      <c r="C27" s="6" t="s">
        <v>13</v>
      </c>
      <c r="D27" s="7" t="s">
        <v>14</v>
      </c>
      <c r="E27" s="8" t="s">
        <v>87</v>
      </c>
      <c r="F27" s="6" t="s">
        <v>16</v>
      </c>
      <c r="G27" s="15">
        <v>46101.0</v>
      </c>
      <c r="H27" s="44">
        <v>46101.0</v>
      </c>
      <c r="I27" s="11">
        <v>46108.0</v>
      </c>
      <c r="J27" s="19"/>
      <c r="K27" s="5" t="s">
        <v>88</v>
      </c>
    </row>
    <row r="28" ht="22.5" customHeight="1">
      <c r="A28" s="5" t="s">
        <v>89</v>
      </c>
      <c r="B28" s="6" t="s">
        <v>21</v>
      </c>
      <c r="C28" s="6" t="s">
        <v>13</v>
      </c>
      <c r="D28" s="7" t="s">
        <v>14</v>
      </c>
      <c r="E28" s="8" t="s">
        <v>54</v>
      </c>
      <c r="F28" s="6" t="s">
        <v>16</v>
      </c>
      <c r="G28" s="39">
        <v>46070.0</v>
      </c>
      <c r="H28" s="10">
        <v>46079.0</v>
      </c>
      <c r="I28" s="11">
        <v>46136.0</v>
      </c>
      <c r="J28" s="55"/>
      <c r="K28" s="5" t="s">
        <v>90</v>
      </c>
    </row>
    <row r="29" ht="22.5" customHeight="1">
      <c r="A29" s="8" t="s">
        <v>91</v>
      </c>
      <c r="B29" s="6" t="s">
        <v>12</v>
      </c>
      <c r="C29" s="6" t="s">
        <v>13</v>
      </c>
      <c r="D29" s="13" t="s">
        <v>72</v>
      </c>
      <c r="E29" s="14"/>
      <c r="F29" s="6" t="s">
        <v>18</v>
      </c>
      <c r="G29" s="15">
        <v>46056.0</v>
      </c>
      <c r="H29" s="10">
        <v>46111.0</v>
      </c>
      <c r="I29" s="11"/>
      <c r="J29" s="18">
        <v>46070.0</v>
      </c>
      <c r="K29" s="5" t="s">
        <v>92</v>
      </c>
    </row>
    <row r="30" ht="22.5" customHeight="1">
      <c r="A30" s="5" t="s">
        <v>93</v>
      </c>
      <c r="B30" s="6" t="s">
        <v>21</v>
      </c>
      <c r="C30" s="6" t="s">
        <v>22</v>
      </c>
      <c r="D30" s="13" t="s">
        <v>14</v>
      </c>
      <c r="E30" s="14"/>
      <c r="F30" s="6" t="s">
        <v>18</v>
      </c>
      <c r="G30" s="39">
        <v>46111.0</v>
      </c>
      <c r="H30" s="44">
        <v>46114.0</v>
      </c>
      <c r="I30" s="11">
        <v>46121.0</v>
      </c>
      <c r="J30" s="28"/>
      <c r="K30" s="5" t="s">
        <v>94</v>
      </c>
    </row>
    <row r="31" ht="22.5" customHeight="1">
      <c r="A31" s="5" t="s">
        <v>95</v>
      </c>
      <c r="B31" s="6" t="s">
        <v>21</v>
      </c>
      <c r="C31" s="6" t="s">
        <v>22</v>
      </c>
      <c r="D31" s="13" t="s">
        <v>26</v>
      </c>
      <c r="E31" s="8" t="s">
        <v>96</v>
      </c>
      <c r="F31" s="6" t="s">
        <v>43</v>
      </c>
      <c r="G31" s="39">
        <v>46101.0</v>
      </c>
      <c r="H31" s="56">
        <v>46132.0</v>
      </c>
      <c r="I31" s="11">
        <v>46140.0</v>
      </c>
      <c r="J31" s="46"/>
      <c r="K31" s="5" t="s">
        <v>97</v>
      </c>
    </row>
    <row r="32" ht="22.5" customHeight="1">
      <c r="A32" s="29" t="s">
        <v>98</v>
      </c>
      <c r="B32" s="30" t="s">
        <v>46</v>
      </c>
      <c r="C32" s="30" t="s">
        <v>30</v>
      </c>
      <c r="D32" s="31" t="s">
        <v>14</v>
      </c>
      <c r="E32" s="29" t="s">
        <v>99</v>
      </c>
      <c r="F32" s="30" t="s">
        <v>36</v>
      </c>
      <c r="G32" s="41">
        <v>46088.0</v>
      </c>
      <c r="H32" s="52">
        <v>46108.0</v>
      </c>
      <c r="I32" s="53"/>
      <c r="J32" s="41">
        <v>46108.0</v>
      </c>
      <c r="K32" s="36" t="s">
        <v>100</v>
      </c>
    </row>
    <row r="33" ht="22.5" customHeight="1">
      <c r="A33" s="43" t="s">
        <v>101</v>
      </c>
      <c r="B33" s="6" t="s">
        <v>12</v>
      </c>
      <c r="C33" s="6" t="s">
        <v>22</v>
      </c>
      <c r="D33" s="13" t="s">
        <v>14</v>
      </c>
      <c r="E33" s="14"/>
      <c r="F33" s="6" t="s">
        <v>60</v>
      </c>
      <c r="G33" s="15">
        <v>45828.0</v>
      </c>
      <c r="H33" s="44"/>
      <c r="I33" s="25"/>
      <c r="J33" s="9">
        <v>45864.0</v>
      </c>
      <c r="K33" s="12"/>
    </row>
    <row r="34" ht="22.5" customHeight="1">
      <c r="A34" s="29" t="s">
        <v>102</v>
      </c>
      <c r="B34" s="30" t="s">
        <v>46</v>
      </c>
      <c r="C34" s="30" t="s">
        <v>30</v>
      </c>
      <c r="D34" s="40" t="s">
        <v>14</v>
      </c>
      <c r="E34" s="29">
        <v>20100.0</v>
      </c>
      <c r="F34" s="30" t="s">
        <v>60</v>
      </c>
      <c r="G34" s="32">
        <v>46126.0</v>
      </c>
      <c r="H34" s="33"/>
      <c r="I34" s="34">
        <v>46164.0</v>
      </c>
      <c r="J34" s="32">
        <v>46156.0</v>
      </c>
      <c r="K34" s="54"/>
    </row>
    <row r="35" ht="22.5" customHeight="1">
      <c r="A35" s="8" t="s">
        <v>103</v>
      </c>
      <c r="B35" s="6" t="s">
        <v>62</v>
      </c>
      <c r="C35" s="6" t="s">
        <v>13</v>
      </c>
      <c r="D35" s="13" t="s">
        <v>26</v>
      </c>
      <c r="E35" s="8" t="s">
        <v>104</v>
      </c>
      <c r="F35" s="6" t="s">
        <v>60</v>
      </c>
      <c r="G35" s="18">
        <v>46009.0</v>
      </c>
      <c r="H35" s="10">
        <v>46167.0</v>
      </c>
      <c r="I35" s="11">
        <v>46162.0</v>
      </c>
      <c r="J35" s="19"/>
      <c r="K35" s="5" t="s">
        <v>105</v>
      </c>
    </row>
    <row r="36" ht="22.5" customHeight="1">
      <c r="A36" s="8" t="s">
        <v>106</v>
      </c>
      <c r="B36" s="6" t="s">
        <v>34</v>
      </c>
      <c r="C36" s="6" t="s">
        <v>30</v>
      </c>
      <c r="D36" s="13" t="s">
        <v>14</v>
      </c>
      <c r="E36" s="14"/>
      <c r="F36" s="6" t="s">
        <v>43</v>
      </c>
      <c r="G36" s="39">
        <v>45823.0</v>
      </c>
      <c r="H36" s="44">
        <v>46126.0</v>
      </c>
      <c r="I36" s="25"/>
      <c r="J36" s="49"/>
      <c r="K36" s="12"/>
    </row>
    <row r="37" ht="22.5" customHeight="1">
      <c r="A37" s="5" t="s">
        <v>107</v>
      </c>
      <c r="B37" s="6" t="s">
        <v>34</v>
      </c>
      <c r="C37" s="6" t="s">
        <v>30</v>
      </c>
      <c r="D37" s="7" t="s">
        <v>72</v>
      </c>
      <c r="E37" s="14"/>
      <c r="F37" s="6" t="s">
        <v>43</v>
      </c>
      <c r="G37" s="39">
        <v>46143.0</v>
      </c>
      <c r="H37" s="44">
        <v>46127.0</v>
      </c>
      <c r="I37" s="25"/>
      <c r="J37" s="18">
        <v>46188.0</v>
      </c>
      <c r="K37" s="12"/>
    </row>
    <row r="38" ht="22.5" customHeight="1">
      <c r="A38" s="8" t="s">
        <v>108</v>
      </c>
      <c r="B38" s="6" t="s">
        <v>21</v>
      </c>
      <c r="C38" s="6" t="s">
        <v>30</v>
      </c>
      <c r="D38" s="13" t="s">
        <v>14</v>
      </c>
      <c r="E38" s="14"/>
      <c r="F38" s="6" t="s">
        <v>76</v>
      </c>
      <c r="G38" s="39">
        <v>46095.0</v>
      </c>
      <c r="H38" s="10">
        <v>46104.0</v>
      </c>
      <c r="I38" s="11">
        <v>46111.0</v>
      </c>
      <c r="J38" s="28"/>
      <c r="K38" s="5" t="s">
        <v>109</v>
      </c>
    </row>
    <row r="39" ht="22.5" customHeight="1">
      <c r="A39" s="5" t="s">
        <v>110</v>
      </c>
      <c r="B39" s="6" t="s">
        <v>62</v>
      </c>
      <c r="C39" s="6" t="s">
        <v>22</v>
      </c>
      <c r="D39" s="7" t="s">
        <v>26</v>
      </c>
      <c r="E39" s="8" t="s">
        <v>111</v>
      </c>
      <c r="F39" s="6" t="s">
        <v>73</v>
      </c>
      <c r="G39" s="48">
        <v>45848.0</v>
      </c>
      <c r="H39" s="10">
        <v>46162.0</v>
      </c>
      <c r="I39" s="11">
        <v>46188.0</v>
      </c>
      <c r="J39" s="47"/>
      <c r="K39" s="5" t="s">
        <v>112</v>
      </c>
    </row>
    <row r="40" ht="22.5" customHeight="1">
      <c r="A40" s="8" t="s">
        <v>113</v>
      </c>
      <c r="B40" s="6" t="s">
        <v>21</v>
      </c>
      <c r="C40" s="6" t="s">
        <v>22</v>
      </c>
      <c r="D40" s="13" t="s">
        <v>14</v>
      </c>
      <c r="E40" s="8" t="s">
        <v>23</v>
      </c>
      <c r="F40" s="6" t="s">
        <v>18</v>
      </c>
      <c r="G40" s="20">
        <v>46086.0</v>
      </c>
      <c r="H40" s="10">
        <v>46115.0</v>
      </c>
      <c r="I40" s="57">
        <v>46121.0</v>
      </c>
      <c r="J40" s="19"/>
      <c r="K40" s="5" t="s">
        <v>114</v>
      </c>
    </row>
    <row r="41" ht="22.5" customHeight="1">
      <c r="A41" s="8" t="s">
        <v>115</v>
      </c>
      <c r="B41" s="6" t="s">
        <v>8</v>
      </c>
      <c r="C41" s="6" t="s">
        <v>13</v>
      </c>
      <c r="D41" s="13" t="s">
        <v>14</v>
      </c>
      <c r="E41" s="14"/>
      <c r="F41" s="6" t="s">
        <v>18</v>
      </c>
      <c r="G41" s="39">
        <v>46056.0</v>
      </c>
      <c r="H41" s="16">
        <v>46160.0</v>
      </c>
      <c r="I41" s="11">
        <v>46162.0</v>
      </c>
      <c r="J41" s="46"/>
      <c r="K41" s="5"/>
    </row>
    <row r="42" ht="22.5" customHeight="1">
      <c r="A42" s="5" t="s">
        <v>116</v>
      </c>
      <c r="B42" s="6" t="s">
        <v>46</v>
      </c>
      <c r="C42" s="6" t="s">
        <v>30</v>
      </c>
      <c r="D42" s="7" t="s">
        <v>26</v>
      </c>
      <c r="E42" s="8" t="s">
        <v>117</v>
      </c>
      <c r="F42" s="6" t="s">
        <v>76</v>
      </c>
      <c r="G42" s="39">
        <v>46320.0</v>
      </c>
      <c r="H42" s="10">
        <v>45975.0</v>
      </c>
      <c r="I42" s="11">
        <v>46111.0</v>
      </c>
      <c r="J42" s="58">
        <v>45975.0</v>
      </c>
      <c r="K42" s="5" t="s">
        <v>118</v>
      </c>
    </row>
    <row r="43" ht="22.5" customHeight="1">
      <c r="A43" s="5" t="s">
        <v>119</v>
      </c>
      <c r="B43" s="6" t="s">
        <v>21</v>
      </c>
      <c r="C43" s="6" t="s">
        <v>30</v>
      </c>
      <c r="D43" s="7" t="s">
        <v>72</v>
      </c>
      <c r="E43" s="14"/>
      <c r="F43" s="6" t="s">
        <v>43</v>
      </c>
      <c r="G43" s="15">
        <v>46162.0</v>
      </c>
      <c r="H43" s="10">
        <v>46129.0</v>
      </c>
      <c r="I43" s="25"/>
      <c r="J43" s="47"/>
      <c r="K43" s="12"/>
    </row>
    <row r="44" ht="22.5" customHeight="1">
      <c r="A44" s="5" t="s">
        <v>120</v>
      </c>
      <c r="B44" s="6" t="s">
        <v>21</v>
      </c>
      <c r="C44" s="6" t="s">
        <v>22</v>
      </c>
      <c r="D44" s="7" t="s">
        <v>14</v>
      </c>
      <c r="E44" s="8" t="s">
        <v>121</v>
      </c>
      <c r="F44" s="6" t="s">
        <v>76</v>
      </c>
      <c r="G44" s="15">
        <v>46176.0</v>
      </c>
      <c r="H44" s="10">
        <v>46185.0</v>
      </c>
      <c r="I44" s="11">
        <v>46192.0</v>
      </c>
      <c r="J44" s="17"/>
      <c r="K44" s="5" t="s">
        <v>122</v>
      </c>
    </row>
    <row r="45" ht="22.5" customHeight="1">
      <c r="A45" s="5" t="s">
        <v>123</v>
      </c>
      <c r="B45" s="6" t="s">
        <v>21</v>
      </c>
      <c r="C45" s="6" t="s">
        <v>30</v>
      </c>
      <c r="D45" s="7" t="s">
        <v>14</v>
      </c>
      <c r="E45" s="8" t="s">
        <v>124</v>
      </c>
      <c r="F45" s="6" t="s">
        <v>60</v>
      </c>
      <c r="G45" s="39">
        <v>46101.0</v>
      </c>
      <c r="H45" s="10">
        <v>46101.0</v>
      </c>
      <c r="I45" s="11">
        <v>46112.0</v>
      </c>
      <c r="J45" s="19"/>
      <c r="K45" s="12"/>
    </row>
    <row r="46" ht="22.5" customHeight="1">
      <c r="A46" s="36" t="s">
        <v>125</v>
      </c>
      <c r="B46" s="30" t="s">
        <v>21</v>
      </c>
      <c r="C46" s="30" t="s">
        <v>22</v>
      </c>
      <c r="D46" s="40" t="s">
        <v>14</v>
      </c>
      <c r="E46" s="29" t="s">
        <v>126</v>
      </c>
      <c r="F46" s="30" t="s">
        <v>18</v>
      </c>
      <c r="G46" s="41">
        <v>46163.0</v>
      </c>
      <c r="H46" s="33">
        <v>46176.0</v>
      </c>
      <c r="I46" s="34">
        <v>46202.0</v>
      </c>
      <c r="J46" s="59"/>
      <c r="K46" s="36" t="s">
        <v>127</v>
      </c>
    </row>
    <row r="47" ht="22.5" customHeight="1">
      <c r="A47" s="5" t="s">
        <v>128</v>
      </c>
      <c r="B47" s="6" t="s">
        <v>29</v>
      </c>
      <c r="C47" s="6" t="s">
        <v>30</v>
      </c>
      <c r="D47" s="7" t="s">
        <v>72</v>
      </c>
      <c r="E47" s="8" t="s">
        <v>129</v>
      </c>
      <c r="F47" s="6" t="s">
        <v>51</v>
      </c>
      <c r="G47" s="27" t="s">
        <v>32</v>
      </c>
      <c r="H47" s="10">
        <v>46136.0</v>
      </c>
      <c r="I47" s="11">
        <v>46193.0</v>
      </c>
      <c r="J47" s="55"/>
      <c r="K47" s="12"/>
    </row>
    <row r="48" ht="22.5" customHeight="1">
      <c r="A48" s="8" t="s">
        <v>130</v>
      </c>
      <c r="B48" s="6" t="s">
        <v>21</v>
      </c>
      <c r="C48" s="6" t="s">
        <v>30</v>
      </c>
      <c r="D48" s="13" t="s">
        <v>14</v>
      </c>
      <c r="E48" s="8" t="s">
        <v>131</v>
      </c>
      <c r="F48" s="6" t="s">
        <v>43</v>
      </c>
      <c r="G48" s="39">
        <v>46077.0</v>
      </c>
      <c r="H48" s="10">
        <v>46100.0</v>
      </c>
      <c r="I48" s="11">
        <v>46121.0</v>
      </c>
      <c r="J48" s="19"/>
      <c r="K48" s="5" t="s">
        <v>132</v>
      </c>
    </row>
    <row r="49" ht="22.5" customHeight="1">
      <c r="A49" s="29" t="s">
        <v>133</v>
      </c>
      <c r="B49" s="30" t="s">
        <v>62</v>
      </c>
      <c r="C49" s="30" t="s">
        <v>13</v>
      </c>
      <c r="D49" s="31" t="s">
        <v>26</v>
      </c>
      <c r="E49" s="29" t="s">
        <v>134</v>
      </c>
      <c r="F49" s="30" t="s">
        <v>16</v>
      </c>
      <c r="G49" s="41">
        <v>46023.0</v>
      </c>
      <c r="H49" s="33">
        <v>46185.0</v>
      </c>
      <c r="I49" s="34"/>
      <c r="J49" s="42"/>
      <c r="K49" s="36" t="s">
        <v>135</v>
      </c>
    </row>
    <row r="50" ht="22.5" customHeight="1">
      <c r="A50" s="5" t="s">
        <v>136</v>
      </c>
      <c r="B50" s="6" t="s">
        <v>21</v>
      </c>
      <c r="C50" s="6" t="s">
        <v>30</v>
      </c>
      <c r="D50" s="7" t="s">
        <v>14</v>
      </c>
      <c r="E50" s="8" t="s">
        <v>137</v>
      </c>
      <c r="F50" s="6" t="s">
        <v>73</v>
      </c>
      <c r="G50" s="39">
        <v>45986.0</v>
      </c>
      <c r="H50" s="60">
        <v>46183.0</v>
      </c>
      <c r="I50" s="11">
        <v>46196.0</v>
      </c>
      <c r="J50" s="51"/>
      <c r="K50" s="5"/>
    </row>
    <row r="51" ht="22.5" customHeight="1">
      <c r="A51" s="5" t="s">
        <v>138</v>
      </c>
      <c r="B51" s="6" t="s">
        <v>21</v>
      </c>
      <c r="C51" s="6" t="s">
        <v>22</v>
      </c>
      <c r="D51" s="7" t="s">
        <v>14</v>
      </c>
      <c r="E51" s="8" t="s">
        <v>139</v>
      </c>
      <c r="F51" s="6" t="s">
        <v>18</v>
      </c>
      <c r="G51" s="18">
        <v>45790.0</v>
      </c>
      <c r="H51" s="23"/>
      <c r="I51" s="11"/>
      <c r="J51" s="17"/>
      <c r="K51" s="5"/>
    </row>
    <row r="52" ht="22.5" customHeight="1">
      <c r="A52" s="8" t="s">
        <v>140</v>
      </c>
      <c r="B52" s="6" t="s">
        <v>21</v>
      </c>
      <c r="C52" s="6" t="s">
        <v>30</v>
      </c>
      <c r="D52" s="13" t="s">
        <v>72</v>
      </c>
      <c r="E52" s="14"/>
      <c r="F52" s="6" t="s">
        <v>60</v>
      </c>
      <c r="G52" s="15">
        <v>46060.0</v>
      </c>
      <c r="H52" s="44">
        <v>46132.0</v>
      </c>
      <c r="I52" s="25"/>
      <c r="J52" s="17"/>
      <c r="K52" s="12"/>
    </row>
    <row r="53" ht="22.5" customHeight="1">
      <c r="A53" s="5" t="s">
        <v>141</v>
      </c>
      <c r="B53" s="6" t="s">
        <v>21</v>
      </c>
      <c r="C53" s="6" t="s">
        <v>30</v>
      </c>
      <c r="D53" s="7" t="s">
        <v>72</v>
      </c>
      <c r="E53" s="14"/>
      <c r="F53" s="6" t="s">
        <v>60</v>
      </c>
      <c r="G53" s="15">
        <v>46060.0</v>
      </c>
      <c r="H53" s="10">
        <v>46136.0</v>
      </c>
      <c r="I53" s="25"/>
      <c r="J53" s="26"/>
      <c r="K53" s="12"/>
    </row>
    <row r="54" ht="22.5" customHeight="1">
      <c r="A54" s="8" t="s">
        <v>142</v>
      </c>
      <c r="B54" s="6" t="s">
        <v>21</v>
      </c>
      <c r="C54" s="6" t="s">
        <v>30</v>
      </c>
      <c r="D54" s="13" t="s">
        <v>72</v>
      </c>
      <c r="E54" s="14"/>
      <c r="F54" s="6" t="s">
        <v>18</v>
      </c>
      <c r="G54" s="20">
        <v>45695.0</v>
      </c>
      <c r="H54" s="10">
        <v>46121.0</v>
      </c>
      <c r="I54" s="25"/>
      <c r="J54" s="61"/>
      <c r="K54" s="12"/>
    </row>
    <row r="55" ht="22.5" customHeight="1">
      <c r="A55" s="8" t="s">
        <v>143</v>
      </c>
      <c r="B55" s="6" t="s">
        <v>21</v>
      </c>
      <c r="C55" s="6" t="s">
        <v>22</v>
      </c>
      <c r="D55" s="7" t="s">
        <v>14</v>
      </c>
      <c r="E55" s="8" t="s">
        <v>144</v>
      </c>
      <c r="F55" s="6" t="s">
        <v>18</v>
      </c>
      <c r="G55" s="20">
        <v>46153.0</v>
      </c>
      <c r="H55" s="62"/>
      <c r="I55" s="25"/>
      <c r="J55" s="26"/>
      <c r="K55" s="12"/>
    </row>
    <row r="56" ht="22.5" customHeight="1">
      <c r="A56" s="8" t="s">
        <v>145</v>
      </c>
      <c r="B56" s="6" t="s">
        <v>46</v>
      </c>
      <c r="C56" s="6" t="s">
        <v>30</v>
      </c>
      <c r="D56" s="13" t="s">
        <v>14</v>
      </c>
      <c r="E56" s="14"/>
      <c r="F56" s="6" t="s">
        <v>76</v>
      </c>
      <c r="G56" s="15">
        <v>46090.0</v>
      </c>
      <c r="H56" s="10">
        <v>46109.0</v>
      </c>
      <c r="I56" s="11">
        <v>46111.0</v>
      </c>
      <c r="J56" s="58">
        <v>46121.0</v>
      </c>
      <c r="K56" s="5" t="s">
        <v>146</v>
      </c>
    </row>
    <row r="57" ht="22.5" customHeight="1">
      <c r="A57" s="5" t="s">
        <v>147</v>
      </c>
      <c r="B57" s="6" t="s">
        <v>62</v>
      </c>
      <c r="C57" s="6" t="s">
        <v>13</v>
      </c>
      <c r="D57" s="13" t="s">
        <v>72</v>
      </c>
      <c r="E57" s="14"/>
      <c r="F57" s="6" t="s">
        <v>73</v>
      </c>
      <c r="G57" s="15">
        <v>45800.0</v>
      </c>
      <c r="H57" s="44">
        <v>46188.0</v>
      </c>
      <c r="I57" s="25"/>
      <c r="J57" s="61"/>
      <c r="K57" s="5" t="s">
        <v>148</v>
      </c>
    </row>
    <row r="58" ht="22.5" customHeight="1">
      <c r="A58" s="5" t="s">
        <v>149</v>
      </c>
      <c r="B58" s="6" t="s">
        <v>12</v>
      </c>
      <c r="C58" s="6" t="s">
        <v>13</v>
      </c>
      <c r="D58" s="7" t="s">
        <v>41</v>
      </c>
      <c r="E58" s="8" t="s">
        <v>150</v>
      </c>
      <c r="F58" s="6" t="s">
        <v>16</v>
      </c>
      <c r="G58" s="39">
        <v>46100.0</v>
      </c>
      <c r="H58" s="63">
        <v>46183.0</v>
      </c>
      <c r="I58" s="11">
        <v>46195.0</v>
      </c>
      <c r="J58" s="24"/>
      <c r="K58" s="5" t="s">
        <v>151</v>
      </c>
    </row>
    <row r="59" ht="22.5" customHeight="1">
      <c r="A59" s="8" t="s">
        <v>152</v>
      </c>
      <c r="B59" s="6" t="s">
        <v>12</v>
      </c>
      <c r="C59" s="6" t="s">
        <v>13</v>
      </c>
      <c r="D59" s="7" t="s">
        <v>14</v>
      </c>
      <c r="E59" s="8" t="s">
        <v>153</v>
      </c>
      <c r="F59" s="6" t="s">
        <v>18</v>
      </c>
      <c r="G59" s="39">
        <v>46096.0</v>
      </c>
      <c r="H59" s="56">
        <v>46127.0</v>
      </c>
      <c r="I59" s="25"/>
      <c r="J59" s="48">
        <v>46136.0</v>
      </c>
      <c r="K59" s="12"/>
    </row>
    <row r="60" ht="22.5" customHeight="1">
      <c r="A60" s="5" t="s">
        <v>154</v>
      </c>
      <c r="B60" s="6" t="s">
        <v>29</v>
      </c>
      <c r="C60" s="6" t="s">
        <v>13</v>
      </c>
      <c r="D60" s="7" t="s">
        <v>14</v>
      </c>
      <c r="E60" s="14"/>
      <c r="F60" s="6" t="s">
        <v>60</v>
      </c>
      <c r="G60" s="27" t="s">
        <v>32</v>
      </c>
      <c r="H60" s="44"/>
      <c r="I60" s="11"/>
      <c r="J60" s="64"/>
      <c r="K60" s="12"/>
    </row>
    <row r="61" ht="22.5" customHeight="1">
      <c r="A61" s="8" t="s">
        <v>155</v>
      </c>
      <c r="B61" s="6" t="s">
        <v>21</v>
      </c>
      <c r="C61" s="6" t="s">
        <v>22</v>
      </c>
      <c r="D61" s="7" t="s">
        <v>14</v>
      </c>
      <c r="E61" s="8" t="s">
        <v>156</v>
      </c>
      <c r="F61" s="6" t="s">
        <v>18</v>
      </c>
      <c r="G61" s="39">
        <v>45819.0</v>
      </c>
      <c r="H61" s="44"/>
      <c r="I61" s="25"/>
      <c r="J61" s="61"/>
      <c r="K61" s="12"/>
    </row>
    <row r="62" ht="22.5" customHeight="1">
      <c r="A62" s="8" t="s">
        <v>157</v>
      </c>
      <c r="B62" s="6" t="s">
        <v>46</v>
      </c>
      <c r="C62" s="6" t="s">
        <v>13</v>
      </c>
      <c r="D62" s="13" t="s">
        <v>26</v>
      </c>
      <c r="E62" s="8" t="s">
        <v>158</v>
      </c>
      <c r="F62" s="6" t="s">
        <v>76</v>
      </c>
      <c r="G62" s="15">
        <v>46068.0</v>
      </c>
      <c r="H62" s="44">
        <v>46136.0</v>
      </c>
      <c r="I62" s="11">
        <v>46193.0</v>
      </c>
      <c r="J62" s="15">
        <v>46136.0</v>
      </c>
      <c r="K62" s="5" t="s">
        <v>159</v>
      </c>
    </row>
    <row r="63" ht="22.5" customHeight="1">
      <c r="A63" s="5" t="s">
        <v>160</v>
      </c>
      <c r="B63" s="6" t="s">
        <v>12</v>
      </c>
      <c r="C63" s="6" t="s">
        <v>22</v>
      </c>
      <c r="D63" s="13" t="s">
        <v>72</v>
      </c>
      <c r="E63" s="14"/>
      <c r="F63" s="6" t="s">
        <v>18</v>
      </c>
      <c r="G63" s="15">
        <v>45910.0</v>
      </c>
      <c r="H63" s="44">
        <v>46118.0</v>
      </c>
      <c r="I63" s="25"/>
      <c r="J63" s="15">
        <v>45920.0</v>
      </c>
      <c r="K63" s="12"/>
    </row>
    <row r="64" ht="22.5" customHeight="1">
      <c r="A64" s="8" t="s">
        <v>161</v>
      </c>
      <c r="B64" s="6" t="s">
        <v>21</v>
      </c>
      <c r="C64" s="6" t="s">
        <v>22</v>
      </c>
      <c r="D64" s="13" t="s">
        <v>72</v>
      </c>
      <c r="E64" s="14"/>
      <c r="F64" s="6" t="s">
        <v>60</v>
      </c>
      <c r="G64" s="15">
        <v>46067.0</v>
      </c>
      <c r="H64" s="44">
        <v>46133.0</v>
      </c>
      <c r="I64" s="25"/>
      <c r="J64" s="61"/>
      <c r="K64" s="12"/>
    </row>
    <row r="65" ht="22.5" customHeight="1">
      <c r="A65" s="65" t="s">
        <v>162</v>
      </c>
      <c r="B65" s="6" t="s">
        <v>29</v>
      </c>
      <c r="C65" s="6" t="s">
        <v>30</v>
      </c>
      <c r="D65" s="13" t="s">
        <v>14</v>
      </c>
      <c r="E65" s="14"/>
      <c r="F65" s="6" t="s">
        <v>60</v>
      </c>
      <c r="G65" s="27" t="s">
        <v>32</v>
      </c>
      <c r="H65" s="44"/>
      <c r="I65" s="25"/>
      <c r="J65" s="66"/>
      <c r="K65" s="12"/>
    </row>
  </sheetData>
  <dataValidations>
    <dataValidation type="list" allowBlank="1" sqref="B2:B65">
      <formula1>"Deal Closed,Advanced,Follow Up,Early,Recurring,Back to Attack,Did not work out,Still to open"</formula1>
    </dataValidation>
    <dataValidation type="list" allowBlank="1" sqref="F2:F65">
      <formula1>"Financial,FMCG,Fashion,Tech/Telecom,Other,Fair,Automotive,Consultancy"</formula1>
    </dataValidation>
    <dataValidation type="list" allowBlank="1" sqref="C2:C65">
      <formula1>"Hot Lead,Warm Lead,Cold Lead"</formula1>
    </dataValidation>
    <dataValidation type="custom" allowBlank="1" showDropDown="1" sqref="I2:I65">
      <formula1>OR(NOT(ISERROR(DATEVALUE(I2))), AND(ISNUMBER(I2), LEFT(CELL("format", I2))="D"))</formula1>
    </dataValidation>
    <dataValidation type="custom" allowBlank="1" showDropDown="1" sqref="G2:G65 J2:J65">
      <formula1>OR(NOT(ISERROR(DATEVALUE(G2))), AND(ISNUMBER(G2), LEFT(CELL("format", G2))="D"))</formula1>
    </dataValidation>
    <dataValidation allowBlank="1" showDropDown="1" sqref="A2:A65 K2:K65"/>
  </dataValidations>
  <hyperlinks>
    <hyperlink r:id="rId4" ref="D2"/>
    <hyperlink r:id="rId5" ref="D3"/>
    <hyperlink r:id="rId6" ref="D4"/>
    <hyperlink r:id="rId7" ref="D5"/>
    <hyperlink r:id="rId8" ref="D6"/>
    <hyperlink r:id="rId9" ref="D7"/>
    <hyperlink r:id="rId10" ref="D8"/>
    <hyperlink r:id="rId11" ref="D9"/>
    <hyperlink r:id="rId12" ref="D10"/>
    <hyperlink r:id="rId13" ref="D11"/>
    <hyperlink r:id="rId14" ref="D12"/>
    <hyperlink r:id="rId15" ref="D13"/>
    <hyperlink r:id="rId16" ref="D14"/>
    <hyperlink r:id="rId17" ref="D15"/>
    <hyperlink r:id="rId18" ref="D16"/>
    <hyperlink r:id="rId19" ref="D17"/>
    <hyperlink r:id="rId20" ref="D18"/>
    <hyperlink r:id="rId21" ref="D19"/>
    <hyperlink r:id="rId22" ref="D20"/>
    <hyperlink r:id="rId23" ref="D21"/>
    <hyperlink r:id="rId24" ref="D22"/>
    <hyperlink r:id="rId25" ref="D23"/>
    <hyperlink r:id="rId26" ref="D24"/>
    <hyperlink r:id="rId27" ref="D25"/>
    <hyperlink r:id="rId28" ref="D26"/>
    <hyperlink r:id="rId29" ref="D27"/>
    <hyperlink r:id="rId30" ref="D28"/>
    <hyperlink r:id="rId31" ref="D29"/>
    <hyperlink r:id="rId32" ref="D30"/>
    <hyperlink r:id="rId33" ref="D31"/>
    <hyperlink r:id="rId34" ref="D32"/>
    <hyperlink r:id="rId35" ref="D33"/>
    <hyperlink r:id="rId36" ref="D34"/>
    <hyperlink r:id="rId37" ref="D35"/>
    <hyperlink r:id="rId38" ref="D36"/>
    <hyperlink r:id="rId39" ref="D37"/>
    <hyperlink r:id="rId40" ref="D38"/>
    <hyperlink r:id="rId41" ref="D39"/>
    <hyperlink r:id="rId42" ref="D40"/>
    <hyperlink r:id="rId43" ref="D41"/>
    <hyperlink r:id="rId44" ref="D42"/>
    <hyperlink r:id="rId45" ref="D43"/>
    <hyperlink r:id="rId46" ref="D44"/>
    <hyperlink r:id="rId47" ref="D45"/>
    <hyperlink r:id="rId48" ref="D46"/>
    <hyperlink r:id="rId49" ref="D47"/>
    <hyperlink r:id="rId50" ref="D48"/>
    <hyperlink r:id="rId51" ref="D49"/>
    <hyperlink r:id="rId52" ref="D50"/>
    <hyperlink r:id="rId53" ref="D51"/>
    <hyperlink r:id="rId54" ref="D52"/>
    <hyperlink r:id="rId55" ref="D53"/>
    <hyperlink r:id="rId56" ref="D54"/>
    <hyperlink r:id="rId57" ref="D55"/>
    <hyperlink r:id="rId58" ref="D56"/>
    <hyperlink r:id="rId59" ref="D57"/>
    <hyperlink r:id="rId60" ref="D58"/>
    <hyperlink r:id="rId61" ref="D59"/>
    <hyperlink r:id="rId62" ref="D60"/>
    <hyperlink r:id="rId63" ref="D61"/>
    <hyperlink r:id="rId64" ref="D62"/>
    <hyperlink r:id="rId65" ref="D63"/>
    <hyperlink r:id="rId66" ref="D64"/>
    <hyperlink r:id="rId67" ref="A65"/>
    <hyperlink r:id="rId68" ref="D65"/>
  </hyperlinks>
  <printOptions gridLines="1" horizontalCentered="1"/>
  <pageMargins bottom="0.75" footer="0.0" header="0.0" left="0.7" right="0.7" top="0.75"/>
  <pageSetup fitToHeight="0" cellComments="atEnd" orientation="landscape" pageOrder="overThenDown"/>
  <drawing r:id="rId69"/>
  <legacyDrawing r:id="rId70"/>
  <tableParts count="1">
    <tablePart r:id="rId7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38"/>
    <col customWidth="1" min="2" max="2" width="27.88"/>
    <col hidden="1" min="3" max="4" width="12.63"/>
    <col customWidth="1" min="6" max="6" width="14.38"/>
    <col customWidth="1" min="7" max="7" width="17.0"/>
    <col customWidth="1" hidden="1" min="8" max="8" width="14.75"/>
    <col customWidth="1" hidden="1" min="9" max="9" width="17.75"/>
    <col customWidth="1" min="10" max="10" width="16.25"/>
    <col customWidth="1" min="11" max="11" width="12.5"/>
    <col customWidth="1" min="12" max="12" width="23.63"/>
    <col customWidth="1" hidden="1" min="13" max="13" width="16.63"/>
    <col customWidth="1" min="14" max="14" width="16.75"/>
    <col customWidth="1" min="15" max="15" width="22.13"/>
    <col customWidth="1" min="16" max="16" width="14.75"/>
  </cols>
  <sheetData>
    <row r="1" ht="22.5" customHeight="1">
      <c r="A1" s="67" t="s">
        <v>163</v>
      </c>
      <c r="B1" s="68" t="s">
        <v>164</v>
      </c>
      <c r="C1" s="69" t="s">
        <v>165</v>
      </c>
      <c r="D1" s="3" t="s">
        <v>166</v>
      </c>
      <c r="E1" s="70" t="s">
        <v>167</v>
      </c>
      <c r="F1" s="68" t="s">
        <v>168</v>
      </c>
      <c r="G1" s="68" t="s">
        <v>169</v>
      </c>
      <c r="H1" s="68" t="s">
        <v>170</v>
      </c>
      <c r="I1" s="69" t="s">
        <v>171</v>
      </c>
      <c r="J1" s="71" t="s">
        <v>172</v>
      </c>
      <c r="K1" s="70" t="s">
        <v>173</v>
      </c>
      <c r="L1" s="67" t="s">
        <v>174</v>
      </c>
      <c r="M1" s="71" t="s">
        <v>175</v>
      </c>
      <c r="N1" s="67" t="s">
        <v>176</v>
      </c>
      <c r="O1" s="67" t="s">
        <v>177</v>
      </c>
      <c r="P1" s="67" t="s">
        <v>178</v>
      </c>
    </row>
    <row r="2" ht="22.5" customHeight="1">
      <c r="A2" s="72" t="s">
        <v>74</v>
      </c>
      <c r="B2" s="73" t="s">
        <v>76</v>
      </c>
      <c r="C2" s="74">
        <f t="shared" ref="C2:C45" si="1">IF(H2&gt;0,D2/H2,D2)</f>
        <v>1</v>
      </c>
      <c r="D2" s="75">
        <v>1.0</v>
      </c>
      <c r="E2" s="76">
        <f t="shared" ref="E2:E46" si="2">(10-(D2*10/8))/2</f>
        <v>4.375</v>
      </c>
      <c r="F2" s="77" t="s">
        <v>179</v>
      </c>
      <c r="G2" s="78" t="s">
        <v>180</v>
      </c>
      <c r="H2" s="79">
        <v>0.0</v>
      </c>
      <c r="I2" s="80">
        <v>0.0</v>
      </c>
      <c r="J2" s="81" t="s">
        <v>181</v>
      </c>
      <c r="K2" s="82">
        <f t="shared" ref="K2:K46" si="3">(IF(AND(I2&gt;=1,I2&lt;=15999),1,10*I2/80000))/2</f>
        <v>0</v>
      </c>
      <c r="L2" s="83">
        <v>5.0</v>
      </c>
      <c r="M2" s="84" t="s">
        <v>182</v>
      </c>
      <c r="N2" s="85">
        <v>5.0</v>
      </c>
      <c r="O2" s="85">
        <v>5.0</v>
      </c>
      <c r="P2" s="85">
        <v>3.0</v>
      </c>
    </row>
    <row r="3" ht="22.5" customHeight="1">
      <c r="A3" s="86" t="s">
        <v>80</v>
      </c>
      <c r="B3" s="87" t="s">
        <v>76</v>
      </c>
      <c r="C3" s="88">
        <f t="shared" si="1"/>
        <v>1</v>
      </c>
      <c r="D3" s="89">
        <v>1.0</v>
      </c>
      <c r="E3" s="90">
        <f t="shared" si="2"/>
        <v>4.375</v>
      </c>
      <c r="F3" s="91" t="s">
        <v>183</v>
      </c>
      <c r="G3" s="92" t="s">
        <v>184</v>
      </c>
      <c r="H3" s="93">
        <v>1.0</v>
      </c>
      <c r="I3" s="94">
        <v>0.0</v>
      </c>
      <c r="J3" s="95" t="s">
        <v>181</v>
      </c>
      <c r="K3" s="90">
        <f t="shared" si="3"/>
        <v>0</v>
      </c>
      <c r="L3" s="96">
        <v>5.0</v>
      </c>
      <c r="M3" s="97" t="s">
        <v>182</v>
      </c>
      <c r="N3" s="98">
        <v>5.0</v>
      </c>
      <c r="O3" s="98">
        <v>4.0</v>
      </c>
      <c r="P3" s="98">
        <v>5.0</v>
      </c>
    </row>
    <row r="4" ht="22.5" customHeight="1">
      <c r="A4" s="99" t="s">
        <v>108</v>
      </c>
      <c r="B4" s="100" t="s">
        <v>76</v>
      </c>
      <c r="C4" s="88">
        <f t="shared" si="1"/>
        <v>3</v>
      </c>
      <c r="D4" s="101">
        <f>2+IF(TODAY()&lt;DATE(YEAR(TODAY()),6,2),0,DATEDIF(DATE(YEAR(TODAY()),6,2),TODAY(),"m"))</f>
        <v>3</v>
      </c>
      <c r="E4" s="90">
        <f t="shared" si="2"/>
        <v>3.125</v>
      </c>
      <c r="F4" s="91" t="s">
        <v>179</v>
      </c>
      <c r="G4" s="92" t="s">
        <v>185</v>
      </c>
      <c r="H4" s="102">
        <v>1.0</v>
      </c>
      <c r="I4" s="103">
        <v>10000.0</v>
      </c>
      <c r="J4" s="104" t="s">
        <v>181</v>
      </c>
      <c r="K4" s="105">
        <f t="shared" si="3"/>
        <v>0.5</v>
      </c>
      <c r="L4" s="106">
        <v>3.0</v>
      </c>
      <c r="M4" s="103" t="s">
        <v>182</v>
      </c>
      <c r="N4" s="107">
        <v>5.0</v>
      </c>
      <c r="O4" s="107">
        <v>2.0</v>
      </c>
      <c r="P4" s="107">
        <v>3.0</v>
      </c>
    </row>
    <row r="5" ht="22.5" customHeight="1">
      <c r="A5" s="108" t="s">
        <v>116</v>
      </c>
      <c r="B5" s="109" t="s">
        <v>76</v>
      </c>
      <c r="C5" s="110">
        <f t="shared" si="1"/>
        <v>1</v>
      </c>
      <c r="D5" s="111">
        <v>1.0</v>
      </c>
      <c r="E5" s="90">
        <f t="shared" si="2"/>
        <v>4.375</v>
      </c>
      <c r="F5" s="112" t="s">
        <v>179</v>
      </c>
      <c r="G5" s="113" t="s">
        <v>180</v>
      </c>
      <c r="H5" s="111">
        <v>0.0</v>
      </c>
      <c r="I5" s="114">
        <v>0.0</v>
      </c>
      <c r="J5" s="95" t="s">
        <v>186</v>
      </c>
      <c r="K5" s="90">
        <f t="shared" si="3"/>
        <v>0</v>
      </c>
      <c r="L5" s="115">
        <v>2.0</v>
      </c>
      <c r="M5" s="116" t="s">
        <v>187</v>
      </c>
      <c r="N5" s="117">
        <v>1.0</v>
      </c>
      <c r="O5" s="117">
        <v>5.0</v>
      </c>
      <c r="P5" s="117">
        <v>3.0</v>
      </c>
    </row>
    <row r="6" ht="22.5" customHeight="1">
      <c r="A6" s="118" t="s">
        <v>145</v>
      </c>
      <c r="B6" s="119" t="s">
        <v>76</v>
      </c>
      <c r="C6" s="120">
        <f t="shared" si="1"/>
        <v>1</v>
      </c>
      <c r="D6" s="121">
        <v>1.0</v>
      </c>
      <c r="E6" s="90">
        <f t="shared" si="2"/>
        <v>4.375</v>
      </c>
      <c r="F6" s="122" t="s">
        <v>179</v>
      </c>
      <c r="G6" s="123" t="s">
        <v>180</v>
      </c>
      <c r="H6" s="124">
        <v>0.0</v>
      </c>
      <c r="I6" s="125">
        <v>3000.0</v>
      </c>
      <c r="J6" s="126" t="s">
        <v>181</v>
      </c>
      <c r="K6" s="127">
        <f t="shared" si="3"/>
        <v>0.5</v>
      </c>
      <c r="L6" s="128">
        <v>4.0</v>
      </c>
      <c r="M6" s="125" t="s">
        <v>182</v>
      </c>
      <c r="N6" s="129">
        <v>5.0</v>
      </c>
      <c r="O6" s="129">
        <v>2.0</v>
      </c>
      <c r="P6" s="129">
        <v>1.0</v>
      </c>
    </row>
    <row r="7" ht="22.5" customHeight="1">
      <c r="A7" s="130" t="s">
        <v>157</v>
      </c>
      <c r="B7" s="131" t="s">
        <v>76</v>
      </c>
      <c r="C7" s="132">
        <f t="shared" si="1"/>
        <v>3</v>
      </c>
      <c r="D7" s="133">
        <v>3.0</v>
      </c>
      <c r="E7" s="90">
        <f t="shared" si="2"/>
        <v>3.125</v>
      </c>
      <c r="F7" s="134" t="s">
        <v>179</v>
      </c>
      <c r="G7" s="135" t="s">
        <v>180</v>
      </c>
      <c r="H7" s="133">
        <v>0.0</v>
      </c>
      <c r="I7" s="136">
        <v>10000.0</v>
      </c>
      <c r="J7" s="137" t="s">
        <v>181</v>
      </c>
      <c r="K7" s="138">
        <f t="shared" si="3"/>
        <v>0.5</v>
      </c>
      <c r="L7" s="139">
        <v>3.0</v>
      </c>
      <c r="M7" s="136" t="s">
        <v>188</v>
      </c>
      <c r="N7" s="140">
        <v>3.0</v>
      </c>
      <c r="O7" s="140">
        <v>3.0</v>
      </c>
      <c r="P7" s="140">
        <v>5.0</v>
      </c>
    </row>
    <row r="8" ht="22.5" customHeight="1">
      <c r="A8" s="141" t="s">
        <v>120</v>
      </c>
      <c r="B8" s="142" t="s">
        <v>76</v>
      </c>
      <c r="C8" s="143">
        <f t="shared" si="1"/>
        <v>2</v>
      </c>
      <c r="D8" s="144">
        <f>1+IF(TODAY()&lt;DATE(YEAR(TODAY()),6,1),0,DATEDIF(DATE(YEAR(TODAY()),6,1),TODAY(),"m"))</f>
        <v>2</v>
      </c>
      <c r="E8" s="145">
        <f t="shared" si="2"/>
        <v>3.75</v>
      </c>
      <c r="F8" s="91" t="s">
        <v>179</v>
      </c>
      <c r="G8" s="146" t="s">
        <v>185</v>
      </c>
      <c r="H8" s="144">
        <v>0.0</v>
      </c>
      <c r="I8" s="147">
        <v>7000.0</v>
      </c>
      <c r="J8" s="148" t="s">
        <v>181</v>
      </c>
      <c r="K8" s="149">
        <f t="shared" si="3"/>
        <v>0.5</v>
      </c>
      <c r="L8" s="150">
        <v>2.0</v>
      </c>
      <c r="M8" s="147" t="s">
        <v>189</v>
      </c>
      <c r="N8" s="151">
        <v>3.0</v>
      </c>
      <c r="O8" s="151">
        <v>4.0</v>
      </c>
      <c r="P8" s="151">
        <v>2.0</v>
      </c>
    </row>
    <row r="9" ht="22.5" customHeight="1">
      <c r="A9" s="152" t="s">
        <v>33</v>
      </c>
      <c r="B9" s="153" t="s">
        <v>36</v>
      </c>
      <c r="C9" s="88">
        <f t="shared" si="1"/>
        <v>1</v>
      </c>
      <c r="D9" s="102">
        <v>1.0</v>
      </c>
      <c r="E9" s="90">
        <f t="shared" si="2"/>
        <v>4.375</v>
      </c>
      <c r="F9" s="134" t="s">
        <v>183</v>
      </c>
      <c r="G9" s="135" t="s">
        <v>184</v>
      </c>
      <c r="H9" s="102">
        <v>1.0</v>
      </c>
      <c r="I9" s="154">
        <v>60000.0</v>
      </c>
      <c r="J9" s="155" t="s">
        <v>181</v>
      </c>
      <c r="K9" s="156">
        <f t="shared" si="3"/>
        <v>3.75</v>
      </c>
      <c r="L9" s="157">
        <v>1.0</v>
      </c>
      <c r="M9" s="154" t="s">
        <v>190</v>
      </c>
      <c r="N9" s="158">
        <v>4.0</v>
      </c>
      <c r="O9" s="158">
        <v>2.0</v>
      </c>
      <c r="P9" s="158">
        <v>3.0</v>
      </c>
    </row>
    <row r="10" ht="22.5" customHeight="1">
      <c r="A10" s="152" t="s">
        <v>61</v>
      </c>
      <c r="B10" s="153" t="s">
        <v>36</v>
      </c>
      <c r="C10" s="110">
        <f t="shared" si="1"/>
        <v>4</v>
      </c>
      <c r="D10" s="102">
        <f>3+IF(TODAY()&lt;DATE(YEAR(TODAY()),6,3),0,DATEDIF(DATE(YEAR(TODAY()),6,3),TODAY(),"m"))</f>
        <v>4</v>
      </c>
      <c r="E10" s="90">
        <f t="shared" si="2"/>
        <v>2.5</v>
      </c>
      <c r="F10" s="134" t="s">
        <v>179</v>
      </c>
      <c r="G10" s="135" t="s">
        <v>185</v>
      </c>
      <c r="H10" s="102">
        <v>0.0</v>
      </c>
      <c r="I10" s="154">
        <v>50000.0</v>
      </c>
      <c r="J10" s="159" t="s">
        <v>181</v>
      </c>
      <c r="K10" s="160">
        <f t="shared" si="3"/>
        <v>3.125</v>
      </c>
      <c r="L10" s="106">
        <v>2.0</v>
      </c>
      <c r="M10" s="154" t="s">
        <v>191</v>
      </c>
      <c r="N10" s="107">
        <v>5.0</v>
      </c>
      <c r="O10" s="107">
        <v>5.0</v>
      </c>
      <c r="P10" s="107">
        <v>5.0</v>
      </c>
    </row>
    <row r="11" ht="22.5" customHeight="1">
      <c r="A11" s="161" t="s">
        <v>107</v>
      </c>
      <c r="B11" s="162" t="s">
        <v>36</v>
      </c>
      <c r="C11" s="110">
        <f t="shared" si="1"/>
        <v>1</v>
      </c>
      <c r="D11" s="163">
        <v>1.0</v>
      </c>
      <c r="E11" s="90">
        <f t="shared" si="2"/>
        <v>4.375</v>
      </c>
      <c r="F11" s="122" t="s">
        <v>183</v>
      </c>
      <c r="G11" s="123" t="s">
        <v>184</v>
      </c>
      <c r="H11" s="163">
        <v>0.0</v>
      </c>
      <c r="I11" s="164">
        <v>60000.0</v>
      </c>
      <c r="J11" s="165" t="s">
        <v>181</v>
      </c>
      <c r="K11" s="166">
        <f t="shared" si="3"/>
        <v>3.75</v>
      </c>
      <c r="L11" s="115">
        <v>1.0</v>
      </c>
      <c r="M11" s="167" t="s">
        <v>192</v>
      </c>
      <c r="N11" s="117">
        <v>4.0</v>
      </c>
      <c r="O11" s="117">
        <v>2.0</v>
      </c>
      <c r="P11" s="117">
        <v>4.0</v>
      </c>
    </row>
    <row r="12" ht="22.5" customHeight="1">
      <c r="A12" s="152" t="s">
        <v>119</v>
      </c>
      <c r="B12" s="168" t="s">
        <v>36</v>
      </c>
      <c r="C12" s="110">
        <f t="shared" si="1"/>
        <v>1</v>
      </c>
      <c r="D12" s="101">
        <f>0+IF(TODAY()&lt;DATE(YEAR(TODAY()),6,0),0,DATEDIF(DATE(YEAR(TODAY()),6,0),TODAY(),"m"))</f>
        <v>1</v>
      </c>
      <c r="E12" s="90">
        <f t="shared" si="2"/>
        <v>4.375</v>
      </c>
      <c r="F12" s="91" t="s">
        <v>179</v>
      </c>
      <c r="G12" s="92" t="s">
        <v>185</v>
      </c>
      <c r="H12" s="101">
        <v>0.0</v>
      </c>
      <c r="I12" s="103">
        <v>50000.0</v>
      </c>
      <c r="J12" s="159" t="s">
        <v>186</v>
      </c>
      <c r="K12" s="160">
        <f t="shared" si="3"/>
        <v>3.125</v>
      </c>
      <c r="L12" s="106">
        <v>2.0</v>
      </c>
      <c r="M12" s="103" t="s">
        <v>190</v>
      </c>
      <c r="N12" s="107">
        <v>3.0</v>
      </c>
      <c r="O12" s="107">
        <v>1.0</v>
      </c>
      <c r="P12" s="107">
        <v>3.0</v>
      </c>
    </row>
    <row r="13" ht="22.5" customHeight="1">
      <c r="A13" s="169" t="s">
        <v>17</v>
      </c>
      <c r="B13" s="170" t="s">
        <v>193</v>
      </c>
      <c r="C13" s="110">
        <f t="shared" si="1"/>
        <v>7</v>
      </c>
      <c r="D13" s="171">
        <f>6+IF(TODAY()&lt;DATE(YEAR(TODAY()),6,6),0,DATEDIF(DATE(YEAR(TODAY()),6,6),TODAY(),"m"))</f>
        <v>7</v>
      </c>
      <c r="E13" s="90">
        <f t="shared" si="2"/>
        <v>0.625</v>
      </c>
      <c r="F13" s="122" t="s">
        <v>179</v>
      </c>
      <c r="G13" s="123" t="s">
        <v>185</v>
      </c>
      <c r="H13" s="172">
        <v>0.0</v>
      </c>
      <c r="I13" s="27">
        <v>30000.0</v>
      </c>
      <c r="J13" s="137" t="s">
        <v>186</v>
      </c>
      <c r="K13" s="138">
        <f t="shared" si="3"/>
        <v>1.875</v>
      </c>
      <c r="L13" s="139">
        <v>2.0</v>
      </c>
      <c r="M13" s="27" t="s">
        <v>182</v>
      </c>
      <c r="N13" s="140">
        <v>4.0</v>
      </c>
      <c r="O13" s="140">
        <v>3.0</v>
      </c>
      <c r="P13" s="140">
        <v>3.0</v>
      </c>
    </row>
    <row r="14" ht="22.5" customHeight="1">
      <c r="A14" s="161" t="s">
        <v>20</v>
      </c>
      <c r="B14" s="173" t="s">
        <v>193</v>
      </c>
      <c r="C14" s="110">
        <f t="shared" si="1"/>
        <v>5</v>
      </c>
      <c r="D14" s="111">
        <f>4+IF(TODAY()&lt;DATE(YEAR(TODAY()),6,4),0,DATEDIF(DATE(YEAR(TODAY()),6,4),TODAY(),"m"))</f>
        <v>5</v>
      </c>
      <c r="E14" s="90">
        <f t="shared" si="2"/>
        <v>1.875</v>
      </c>
      <c r="F14" s="112" t="s">
        <v>179</v>
      </c>
      <c r="G14" s="113" t="s">
        <v>185</v>
      </c>
      <c r="H14" s="111">
        <v>0.0</v>
      </c>
      <c r="I14" s="174">
        <v>30000.0</v>
      </c>
      <c r="J14" s="165" t="s">
        <v>181</v>
      </c>
      <c r="K14" s="166">
        <f t="shared" si="3"/>
        <v>1.875</v>
      </c>
      <c r="L14" s="115">
        <v>1.0</v>
      </c>
      <c r="M14" s="174" t="s">
        <v>182</v>
      </c>
      <c r="N14" s="117">
        <v>4.0</v>
      </c>
      <c r="O14" s="117">
        <v>1.0</v>
      </c>
      <c r="P14" s="117">
        <v>3.0</v>
      </c>
    </row>
    <row r="15" ht="22.5" customHeight="1">
      <c r="A15" s="175" t="s">
        <v>25</v>
      </c>
      <c r="B15" s="176" t="s">
        <v>193</v>
      </c>
      <c r="C15" s="110">
        <f t="shared" si="1"/>
        <v>7</v>
      </c>
      <c r="D15" s="93">
        <f>6+IF(TODAY()&lt;DATE(YEAR(TODAY()),6,6),0,DATEDIF(DATE(YEAR(TODAY()),6,6),TODAY(),"m"))</f>
        <v>7</v>
      </c>
      <c r="E15" s="90">
        <f t="shared" si="2"/>
        <v>0.625</v>
      </c>
      <c r="F15" s="134" t="s">
        <v>179</v>
      </c>
      <c r="G15" s="135" t="s">
        <v>185</v>
      </c>
      <c r="H15" s="89">
        <v>0.0</v>
      </c>
      <c r="I15" s="164">
        <v>30000.0</v>
      </c>
      <c r="J15" s="165" t="s">
        <v>186</v>
      </c>
      <c r="K15" s="166">
        <f t="shared" si="3"/>
        <v>1.875</v>
      </c>
      <c r="L15" s="115">
        <v>2.0</v>
      </c>
      <c r="M15" s="164" t="s">
        <v>192</v>
      </c>
      <c r="N15" s="117">
        <v>2.0</v>
      </c>
      <c r="O15" s="117">
        <v>4.0</v>
      </c>
      <c r="P15" s="117">
        <v>3.0</v>
      </c>
    </row>
    <row r="16" ht="22.5" customHeight="1">
      <c r="A16" s="161" t="s">
        <v>53</v>
      </c>
      <c r="B16" s="173" t="s">
        <v>193</v>
      </c>
      <c r="C16" s="110">
        <f t="shared" si="1"/>
        <v>4</v>
      </c>
      <c r="D16" s="111">
        <f>3+IF(TODAY()&lt;DATE(YEAR(TODAY()),6,3),0,DATEDIF(DATE(YEAR(TODAY()),6,3),TODAY(),"m"))</f>
        <v>4</v>
      </c>
      <c r="E16" s="90">
        <f t="shared" si="2"/>
        <v>2.5</v>
      </c>
      <c r="F16" s="112" t="s">
        <v>179</v>
      </c>
      <c r="G16" s="113" t="s">
        <v>185</v>
      </c>
      <c r="H16" s="111">
        <v>0.0</v>
      </c>
      <c r="I16" s="174">
        <v>40000.0</v>
      </c>
      <c r="J16" s="177" t="s">
        <v>186</v>
      </c>
      <c r="K16" s="178">
        <f t="shared" si="3"/>
        <v>2.5</v>
      </c>
      <c r="L16" s="96">
        <v>2.0</v>
      </c>
      <c r="M16" s="174" t="s">
        <v>192</v>
      </c>
      <c r="N16" s="98">
        <v>4.0</v>
      </c>
      <c r="O16" s="98">
        <v>4.0</v>
      </c>
      <c r="P16" s="98">
        <v>4.0</v>
      </c>
    </row>
    <row r="17" ht="22.5" customHeight="1">
      <c r="A17" s="152" t="s">
        <v>56</v>
      </c>
      <c r="B17" s="179" t="s">
        <v>193</v>
      </c>
      <c r="C17" s="110">
        <f t="shared" si="1"/>
        <v>8</v>
      </c>
      <c r="D17" s="102">
        <v>8.0</v>
      </c>
      <c r="E17" s="90">
        <f t="shared" si="2"/>
        <v>0</v>
      </c>
      <c r="F17" s="134" t="s">
        <v>179</v>
      </c>
      <c r="G17" s="135" t="s">
        <v>185</v>
      </c>
      <c r="H17" s="101">
        <v>0.0</v>
      </c>
      <c r="I17" s="154">
        <v>30000.0</v>
      </c>
      <c r="J17" s="155" t="s">
        <v>186</v>
      </c>
      <c r="K17" s="156">
        <f t="shared" si="3"/>
        <v>1.875</v>
      </c>
      <c r="L17" s="157">
        <v>2.0</v>
      </c>
      <c r="M17" s="154" t="s">
        <v>182</v>
      </c>
      <c r="N17" s="158">
        <v>4.0</v>
      </c>
      <c r="O17" s="158">
        <v>2.0</v>
      </c>
      <c r="P17" s="158">
        <v>3.0</v>
      </c>
    </row>
    <row r="18" ht="22.5" customHeight="1">
      <c r="A18" s="180" t="s">
        <v>194</v>
      </c>
      <c r="B18" s="176" t="s">
        <v>193</v>
      </c>
      <c r="C18" s="88">
        <f t="shared" si="1"/>
        <v>0.5</v>
      </c>
      <c r="D18" s="89">
        <v>1.0</v>
      </c>
      <c r="E18" s="90">
        <f t="shared" si="2"/>
        <v>4.375</v>
      </c>
      <c r="F18" s="91" t="s">
        <v>183</v>
      </c>
      <c r="G18" s="92" t="s">
        <v>185</v>
      </c>
      <c r="H18" s="93">
        <v>2.0</v>
      </c>
      <c r="I18" s="97">
        <v>40000.0</v>
      </c>
      <c r="J18" s="165" t="s">
        <v>181</v>
      </c>
      <c r="K18" s="166">
        <f t="shared" si="3"/>
        <v>2.5</v>
      </c>
      <c r="L18" s="115">
        <v>1.0</v>
      </c>
      <c r="M18" s="97" t="s">
        <v>195</v>
      </c>
      <c r="N18" s="117">
        <v>5.0</v>
      </c>
      <c r="O18" s="117">
        <v>5.0</v>
      </c>
      <c r="P18" s="117">
        <v>5.0</v>
      </c>
    </row>
    <row r="19" ht="22.5" customHeight="1">
      <c r="A19" s="181" t="s">
        <v>93</v>
      </c>
      <c r="B19" s="179" t="s">
        <v>193</v>
      </c>
      <c r="C19" s="110">
        <f t="shared" si="1"/>
        <v>3</v>
      </c>
      <c r="D19" s="101">
        <f t="shared" ref="D19:D20" si="4">2+IF(TODAY()&lt;DATE(YEAR(TODAY()),6,2),0,DATEDIF(DATE(YEAR(TODAY()),6,2),TODAY(),"m"))</f>
        <v>3</v>
      </c>
      <c r="E19" s="90">
        <f t="shared" si="2"/>
        <v>3.125</v>
      </c>
      <c r="F19" s="91" t="s">
        <v>179</v>
      </c>
      <c r="G19" s="92" t="s">
        <v>185</v>
      </c>
      <c r="H19" s="102">
        <v>0.0</v>
      </c>
      <c r="I19" s="103">
        <v>30000.0</v>
      </c>
      <c r="J19" s="155" t="s">
        <v>186</v>
      </c>
      <c r="K19" s="156">
        <f t="shared" si="3"/>
        <v>1.875</v>
      </c>
      <c r="L19" s="157">
        <v>2.0</v>
      </c>
      <c r="M19" s="103" t="s">
        <v>182</v>
      </c>
      <c r="N19" s="158">
        <v>4.0</v>
      </c>
      <c r="O19" s="158">
        <v>4.0</v>
      </c>
      <c r="P19" s="158">
        <v>4.0</v>
      </c>
    </row>
    <row r="20" ht="22.5" customHeight="1">
      <c r="A20" s="161" t="s">
        <v>113</v>
      </c>
      <c r="B20" s="173" t="s">
        <v>193</v>
      </c>
      <c r="C20" s="110">
        <f t="shared" si="1"/>
        <v>3</v>
      </c>
      <c r="D20" s="111">
        <f t="shared" si="4"/>
        <v>3</v>
      </c>
      <c r="E20" s="90">
        <f t="shared" si="2"/>
        <v>3.125</v>
      </c>
      <c r="F20" s="112" t="s">
        <v>179</v>
      </c>
      <c r="G20" s="113" t="s">
        <v>185</v>
      </c>
      <c r="H20" s="111">
        <v>0.0</v>
      </c>
      <c r="I20" s="174">
        <v>50000.0</v>
      </c>
      <c r="J20" s="177" t="s">
        <v>186</v>
      </c>
      <c r="K20" s="178">
        <f t="shared" si="3"/>
        <v>3.125</v>
      </c>
      <c r="L20" s="96">
        <v>2.0</v>
      </c>
      <c r="M20" s="174" t="s">
        <v>192</v>
      </c>
      <c r="N20" s="98">
        <v>3.0</v>
      </c>
      <c r="O20" s="98">
        <v>5.0</v>
      </c>
      <c r="P20" s="98">
        <v>5.0</v>
      </c>
    </row>
    <row r="21" ht="22.5" customHeight="1">
      <c r="A21" s="152" t="s">
        <v>115</v>
      </c>
      <c r="B21" s="179" t="s">
        <v>193</v>
      </c>
      <c r="C21" s="110">
        <f t="shared" si="1"/>
        <v>4</v>
      </c>
      <c r="D21" s="101">
        <f t="shared" ref="D21:D22" si="5">3+IF(TODAY()&lt;DATE(YEAR(TODAY()),6,3),0,DATEDIF(DATE(YEAR(TODAY()),6,3),TODAY(),"m"))</f>
        <v>4</v>
      </c>
      <c r="E21" s="90">
        <f t="shared" si="2"/>
        <v>2.5</v>
      </c>
      <c r="F21" s="91" t="s">
        <v>179</v>
      </c>
      <c r="G21" s="92" t="s">
        <v>185</v>
      </c>
      <c r="H21" s="101">
        <v>0.0</v>
      </c>
      <c r="I21" s="103">
        <v>30000.0</v>
      </c>
      <c r="J21" s="155" t="s">
        <v>186</v>
      </c>
      <c r="K21" s="156">
        <f t="shared" si="3"/>
        <v>1.875</v>
      </c>
      <c r="L21" s="157">
        <v>1.0</v>
      </c>
      <c r="M21" s="103" t="s">
        <v>192</v>
      </c>
      <c r="N21" s="158">
        <v>3.0</v>
      </c>
      <c r="O21" s="158">
        <v>2.0</v>
      </c>
      <c r="P21" s="158">
        <v>5.0</v>
      </c>
    </row>
    <row r="22" ht="22.5" customHeight="1">
      <c r="A22" s="182" t="s">
        <v>142</v>
      </c>
      <c r="B22" s="183" t="s">
        <v>193</v>
      </c>
      <c r="C22" s="110">
        <f t="shared" si="1"/>
        <v>4</v>
      </c>
      <c r="D22" s="184">
        <f t="shared" si="5"/>
        <v>4</v>
      </c>
      <c r="E22" s="90">
        <f t="shared" si="2"/>
        <v>2.5</v>
      </c>
      <c r="F22" s="122" t="s">
        <v>179</v>
      </c>
      <c r="G22" s="123" t="s">
        <v>180</v>
      </c>
      <c r="H22" s="184">
        <v>0.0</v>
      </c>
      <c r="I22" s="185">
        <v>40000.0</v>
      </c>
      <c r="J22" s="159" t="s">
        <v>186</v>
      </c>
      <c r="K22" s="160">
        <f t="shared" si="3"/>
        <v>2.5</v>
      </c>
      <c r="L22" s="106">
        <v>2.0</v>
      </c>
      <c r="M22" s="185" t="s">
        <v>192</v>
      </c>
      <c r="N22" s="107">
        <v>1.0</v>
      </c>
      <c r="O22" s="107">
        <v>2.0</v>
      </c>
      <c r="P22" s="107">
        <v>3.0</v>
      </c>
    </row>
    <row r="23" ht="22.5" customHeight="1">
      <c r="A23" s="175" t="s">
        <v>143</v>
      </c>
      <c r="B23" s="176" t="s">
        <v>193</v>
      </c>
      <c r="C23" s="110">
        <f t="shared" si="1"/>
        <v>1</v>
      </c>
      <c r="D23" s="93">
        <f>0+IF(TODAY()&lt;DATE(YEAR(TODAY()),6,0),0,DATEDIF(DATE(YEAR(TODAY()),6,0),TODAY(),"m"))</f>
        <v>1</v>
      </c>
      <c r="E23" s="90">
        <f t="shared" si="2"/>
        <v>4.375</v>
      </c>
      <c r="F23" s="134" t="s">
        <v>179</v>
      </c>
      <c r="G23" s="135" t="s">
        <v>185</v>
      </c>
      <c r="H23" s="89">
        <v>0.0</v>
      </c>
      <c r="I23" s="164">
        <v>50000.0</v>
      </c>
      <c r="J23" s="177" t="s">
        <v>186</v>
      </c>
      <c r="K23" s="178">
        <f t="shared" si="3"/>
        <v>3.125</v>
      </c>
      <c r="L23" s="96">
        <v>3.0</v>
      </c>
      <c r="M23" s="164" t="s">
        <v>192</v>
      </c>
      <c r="N23" s="98">
        <v>2.0</v>
      </c>
      <c r="O23" s="98">
        <v>3.0</v>
      </c>
      <c r="P23" s="98">
        <v>3.0</v>
      </c>
    </row>
    <row r="24" ht="22.5" customHeight="1">
      <c r="A24" s="186" t="s">
        <v>196</v>
      </c>
      <c r="B24" s="183" t="s">
        <v>193</v>
      </c>
      <c r="C24" s="88">
        <f t="shared" si="1"/>
        <v>1</v>
      </c>
      <c r="D24" s="187">
        <v>1.0</v>
      </c>
      <c r="E24" s="90">
        <f t="shared" si="2"/>
        <v>4.375</v>
      </c>
      <c r="F24" s="112" t="s">
        <v>183</v>
      </c>
      <c r="G24" s="113" t="s">
        <v>184</v>
      </c>
      <c r="H24" s="184">
        <v>1.0</v>
      </c>
      <c r="I24" s="116">
        <v>3000.0</v>
      </c>
      <c r="J24" s="159" t="s">
        <v>181</v>
      </c>
      <c r="K24" s="160">
        <f t="shared" si="3"/>
        <v>0.5</v>
      </c>
      <c r="L24" s="106">
        <v>5.0</v>
      </c>
      <c r="M24" s="116" t="s">
        <v>192</v>
      </c>
      <c r="N24" s="107">
        <v>3.0</v>
      </c>
      <c r="O24" s="107">
        <v>3.0</v>
      </c>
      <c r="P24" s="107">
        <v>3.0</v>
      </c>
    </row>
    <row r="25" ht="22.5" customHeight="1">
      <c r="A25" s="175" t="s">
        <v>160</v>
      </c>
      <c r="B25" s="176" t="s">
        <v>193</v>
      </c>
      <c r="C25" s="110">
        <f t="shared" si="1"/>
        <v>1</v>
      </c>
      <c r="D25" s="89">
        <v>1.0</v>
      </c>
      <c r="E25" s="90">
        <f t="shared" si="2"/>
        <v>4.375</v>
      </c>
      <c r="F25" s="91" t="s">
        <v>183</v>
      </c>
      <c r="G25" s="92" t="s">
        <v>184</v>
      </c>
      <c r="H25" s="89">
        <v>0.0</v>
      </c>
      <c r="I25" s="97">
        <v>0.0</v>
      </c>
      <c r="J25" s="177" t="s">
        <v>181</v>
      </c>
      <c r="K25" s="178">
        <f t="shared" si="3"/>
        <v>0</v>
      </c>
      <c r="L25" s="96">
        <v>5.0</v>
      </c>
      <c r="M25" s="97" t="s">
        <v>182</v>
      </c>
      <c r="N25" s="98">
        <v>5.0</v>
      </c>
      <c r="O25" s="98">
        <v>3.0</v>
      </c>
      <c r="P25" s="98">
        <v>2.0</v>
      </c>
    </row>
    <row r="26" ht="22.5" customHeight="1">
      <c r="A26" s="181" t="s">
        <v>197</v>
      </c>
      <c r="B26" s="188" t="s">
        <v>193</v>
      </c>
      <c r="C26" s="110">
        <f t="shared" si="1"/>
        <v>8</v>
      </c>
      <c r="D26" s="101">
        <v>8.0</v>
      </c>
      <c r="E26" s="145">
        <f t="shared" si="2"/>
        <v>0</v>
      </c>
      <c r="F26" s="91" t="s">
        <v>179</v>
      </c>
      <c r="G26" s="146" t="s">
        <v>185</v>
      </c>
      <c r="H26" s="101">
        <v>0.0</v>
      </c>
      <c r="I26" s="103">
        <v>80000.0</v>
      </c>
      <c r="J26" s="189" t="s">
        <v>186</v>
      </c>
      <c r="K26" s="190">
        <f t="shared" si="3"/>
        <v>5</v>
      </c>
      <c r="L26" s="191">
        <v>1.0</v>
      </c>
      <c r="M26" s="103" t="s">
        <v>192</v>
      </c>
      <c r="N26" s="192">
        <v>2.0</v>
      </c>
      <c r="O26" s="192">
        <v>2.0</v>
      </c>
      <c r="P26" s="192">
        <v>2.0</v>
      </c>
    </row>
    <row r="27" ht="22.5" customHeight="1">
      <c r="A27" s="161" t="s">
        <v>65</v>
      </c>
      <c r="B27" s="193" t="s">
        <v>43</v>
      </c>
      <c r="C27" s="110">
        <f t="shared" si="1"/>
        <v>2</v>
      </c>
      <c r="D27" s="163">
        <f>1+IF(TODAY()&lt;DATE(YEAR(TODAY()),6,1),0,DATEDIF(DATE(YEAR(TODAY()),6,1),TODAY(),"m"))</f>
        <v>2</v>
      </c>
      <c r="E27" s="90">
        <f t="shared" si="2"/>
        <v>3.75</v>
      </c>
      <c r="F27" s="122" t="s">
        <v>179</v>
      </c>
      <c r="G27" s="123" t="s">
        <v>180</v>
      </c>
      <c r="H27" s="163">
        <v>0.0</v>
      </c>
      <c r="I27" s="167">
        <v>10000.0</v>
      </c>
      <c r="J27" s="165" t="s">
        <v>181</v>
      </c>
      <c r="K27" s="166">
        <f t="shared" si="3"/>
        <v>0.5</v>
      </c>
      <c r="L27" s="115">
        <v>4.0</v>
      </c>
      <c r="M27" s="167" t="s">
        <v>182</v>
      </c>
      <c r="N27" s="117">
        <v>3.0</v>
      </c>
      <c r="O27" s="117">
        <v>2.0</v>
      </c>
      <c r="P27" s="117">
        <v>2.0</v>
      </c>
    </row>
    <row r="28" ht="22.5" customHeight="1">
      <c r="A28" s="152" t="s">
        <v>95</v>
      </c>
      <c r="B28" s="194" t="s">
        <v>43</v>
      </c>
      <c r="C28" s="110">
        <f t="shared" si="1"/>
        <v>3</v>
      </c>
      <c r="D28" s="102">
        <f>2+IF(TODAY()&lt;DATE(YEAR(TODAY()),6,2),0,DATEDIF(DATE(YEAR(TODAY()),6,2),TODAY(),"m"))</f>
        <v>3</v>
      </c>
      <c r="E28" s="90">
        <f t="shared" si="2"/>
        <v>3.125</v>
      </c>
      <c r="F28" s="134" t="s">
        <v>179</v>
      </c>
      <c r="G28" s="195" t="s">
        <v>185</v>
      </c>
      <c r="H28" s="102">
        <v>0.0</v>
      </c>
      <c r="I28" s="154">
        <v>20000.0</v>
      </c>
      <c r="J28" s="159" t="s">
        <v>186</v>
      </c>
      <c r="K28" s="160">
        <f t="shared" si="3"/>
        <v>1.25</v>
      </c>
      <c r="L28" s="106">
        <v>2.0</v>
      </c>
      <c r="M28" s="103" t="s">
        <v>198</v>
      </c>
      <c r="N28" s="107">
        <v>5.0</v>
      </c>
      <c r="O28" s="107">
        <v>2.0</v>
      </c>
      <c r="P28" s="107">
        <v>3.0</v>
      </c>
    </row>
    <row r="29" ht="22.5" customHeight="1">
      <c r="A29" s="152" t="s">
        <v>106</v>
      </c>
      <c r="B29" s="194" t="s">
        <v>43</v>
      </c>
      <c r="C29" s="110">
        <f t="shared" si="1"/>
        <v>3</v>
      </c>
      <c r="D29" s="101">
        <v>3.0</v>
      </c>
      <c r="E29" s="90">
        <f t="shared" si="2"/>
        <v>3.125</v>
      </c>
      <c r="F29" s="91" t="s">
        <v>179</v>
      </c>
      <c r="G29" s="92" t="s">
        <v>180</v>
      </c>
      <c r="H29" s="101">
        <v>0.0</v>
      </c>
      <c r="I29" s="103">
        <v>50000.0</v>
      </c>
      <c r="J29" s="159" t="s">
        <v>186</v>
      </c>
      <c r="K29" s="160">
        <f t="shared" si="3"/>
        <v>3.125</v>
      </c>
      <c r="L29" s="106">
        <v>1.0</v>
      </c>
      <c r="M29" s="97" t="s">
        <v>192</v>
      </c>
      <c r="N29" s="107">
        <v>3.0</v>
      </c>
      <c r="O29" s="107">
        <v>2.0</v>
      </c>
      <c r="P29" s="107">
        <v>4.0</v>
      </c>
    </row>
    <row r="30" ht="22.5" customHeight="1">
      <c r="A30" s="182" t="s">
        <v>130</v>
      </c>
      <c r="B30" s="196" t="s">
        <v>43</v>
      </c>
      <c r="C30" s="110">
        <f t="shared" si="1"/>
        <v>4</v>
      </c>
      <c r="D30" s="187">
        <f>3+IF(TODAY()&lt;DATE(YEAR(TODAY()),6,3),0,DATEDIF(DATE(YEAR(TODAY()),6,3),TODAY(),"m"))</f>
        <v>4</v>
      </c>
      <c r="E30" s="90">
        <f t="shared" si="2"/>
        <v>2.5</v>
      </c>
      <c r="F30" s="112" t="s">
        <v>179</v>
      </c>
      <c r="G30" s="113" t="s">
        <v>185</v>
      </c>
      <c r="H30" s="187">
        <v>0.0</v>
      </c>
      <c r="I30" s="116">
        <v>50000.0</v>
      </c>
      <c r="J30" s="155" t="s">
        <v>181</v>
      </c>
      <c r="K30" s="156">
        <f t="shared" si="3"/>
        <v>3.125</v>
      </c>
      <c r="L30" s="157">
        <v>2.0</v>
      </c>
      <c r="M30" s="116" t="s">
        <v>191</v>
      </c>
      <c r="N30" s="158">
        <v>2.0</v>
      </c>
      <c r="O30" s="158">
        <v>1.0</v>
      </c>
      <c r="P30" s="158">
        <v>3.0</v>
      </c>
    </row>
    <row r="31" ht="22.5" customHeight="1">
      <c r="A31" s="197" t="s">
        <v>199</v>
      </c>
      <c r="B31" s="198" t="s">
        <v>60</v>
      </c>
      <c r="C31" s="88">
        <f t="shared" si="1"/>
        <v>2</v>
      </c>
      <c r="D31" s="111">
        <v>2.0</v>
      </c>
      <c r="E31" s="90">
        <f t="shared" si="2"/>
        <v>3.75</v>
      </c>
      <c r="F31" s="112" t="s">
        <v>183</v>
      </c>
      <c r="G31" s="113" t="s">
        <v>185</v>
      </c>
      <c r="H31" s="111">
        <v>1.0</v>
      </c>
      <c r="I31" s="174">
        <v>7000.0</v>
      </c>
      <c r="J31" s="177" t="s">
        <v>181</v>
      </c>
      <c r="K31" s="178">
        <f t="shared" si="3"/>
        <v>0.5</v>
      </c>
      <c r="L31" s="96">
        <v>1.0</v>
      </c>
      <c r="M31" s="174" t="s">
        <v>191</v>
      </c>
      <c r="N31" s="98">
        <v>5.0</v>
      </c>
      <c r="O31" s="98">
        <v>1.0</v>
      </c>
      <c r="P31" s="98">
        <v>5.0</v>
      </c>
    </row>
    <row r="32" ht="22.5" customHeight="1">
      <c r="A32" s="186" t="s">
        <v>101</v>
      </c>
      <c r="B32" s="199" t="s">
        <v>60</v>
      </c>
      <c r="C32" s="88">
        <f t="shared" si="1"/>
        <v>1</v>
      </c>
      <c r="D32" s="187">
        <v>1.0</v>
      </c>
      <c r="E32" s="90">
        <f t="shared" si="2"/>
        <v>4.375</v>
      </c>
      <c r="F32" s="112" t="s">
        <v>183</v>
      </c>
      <c r="G32" s="113" t="s">
        <v>184</v>
      </c>
      <c r="H32" s="187">
        <v>1.0</v>
      </c>
      <c r="I32" s="116">
        <v>5000.0</v>
      </c>
      <c r="J32" s="159" t="s">
        <v>181</v>
      </c>
      <c r="K32" s="160">
        <f t="shared" si="3"/>
        <v>0.5</v>
      </c>
      <c r="L32" s="106">
        <v>5.0</v>
      </c>
      <c r="M32" s="116" t="s">
        <v>182</v>
      </c>
      <c r="N32" s="107">
        <v>5.0</v>
      </c>
      <c r="O32" s="107">
        <v>4.0</v>
      </c>
      <c r="P32" s="107">
        <v>4.0</v>
      </c>
    </row>
    <row r="33" ht="22.5" customHeight="1">
      <c r="A33" s="152" t="s">
        <v>103</v>
      </c>
      <c r="B33" s="200" t="s">
        <v>60</v>
      </c>
      <c r="C33" s="110">
        <f t="shared" si="1"/>
        <v>6</v>
      </c>
      <c r="D33" s="102">
        <f>5+IF(TODAY()&lt;DATE(YEAR(TODAY()),6,5),0,DATEDIF(DATE(YEAR(TODAY()),6,5),TODAY(),"m"))</f>
        <v>6</v>
      </c>
      <c r="E33" s="90">
        <f t="shared" si="2"/>
        <v>1.25</v>
      </c>
      <c r="F33" s="134" t="s">
        <v>179</v>
      </c>
      <c r="G33" s="135" t="s">
        <v>185</v>
      </c>
      <c r="H33" s="102">
        <v>0.0</v>
      </c>
      <c r="I33" s="154">
        <v>15000.0</v>
      </c>
      <c r="J33" s="155" t="s">
        <v>181</v>
      </c>
      <c r="K33" s="156">
        <f t="shared" si="3"/>
        <v>0.5</v>
      </c>
      <c r="L33" s="157">
        <v>1.0</v>
      </c>
      <c r="M33" s="154" t="s">
        <v>192</v>
      </c>
      <c r="N33" s="158">
        <v>4.0</v>
      </c>
      <c r="O33" s="158">
        <v>2.0</v>
      </c>
      <c r="P33" s="158">
        <v>3.0</v>
      </c>
    </row>
    <row r="34" ht="22.5" customHeight="1">
      <c r="A34" s="175" t="s">
        <v>140</v>
      </c>
      <c r="B34" s="201" t="s">
        <v>60</v>
      </c>
      <c r="C34" s="110">
        <f t="shared" si="1"/>
        <v>4</v>
      </c>
      <c r="D34" s="89">
        <f t="shared" ref="D34:D35" si="6">3+IF(TODAY()&lt;DATE(YEAR(TODAY()),6,3),0,DATEDIF(DATE(YEAR(TODAY()),6,3),TODAY(),"m"))</f>
        <v>4</v>
      </c>
      <c r="E34" s="90">
        <f t="shared" si="2"/>
        <v>2.5</v>
      </c>
      <c r="F34" s="91" t="s">
        <v>179</v>
      </c>
      <c r="G34" s="92" t="s">
        <v>185</v>
      </c>
      <c r="H34" s="89">
        <v>0.0</v>
      </c>
      <c r="I34" s="97">
        <v>50000.0</v>
      </c>
      <c r="J34" s="177" t="s">
        <v>186</v>
      </c>
      <c r="K34" s="178">
        <f t="shared" si="3"/>
        <v>3.125</v>
      </c>
      <c r="L34" s="96">
        <v>1.0</v>
      </c>
      <c r="M34" s="97" t="s">
        <v>198</v>
      </c>
      <c r="N34" s="98">
        <v>1.0</v>
      </c>
      <c r="O34" s="98">
        <v>2.0</v>
      </c>
      <c r="P34" s="98">
        <v>3.0</v>
      </c>
    </row>
    <row r="35" ht="22.5" customHeight="1">
      <c r="A35" s="182" t="s">
        <v>141</v>
      </c>
      <c r="B35" s="202" t="s">
        <v>60</v>
      </c>
      <c r="C35" s="110">
        <f t="shared" si="1"/>
        <v>4</v>
      </c>
      <c r="D35" s="184">
        <f t="shared" si="6"/>
        <v>4</v>
      </c>
      <c r="E35" s="90">
        <f t="shared" si="2"/>
        <v>2.5</v>
      </c>
      <c r="F35" s="122" t="s">
        <v>179</v>
      </c>
      <c r="G35" s="123" t="s">
        <v>185</v>
      </c>
      <c r="H35" s="184">
        <v>0.0</v>
      </c>
      <c r="I35" s="185">
        <v>50000.0</v>
      </c>
      <c r="J35" s="155" t="s">
        <v>186</v>
      </c>
      <c r="K35" s="156">
        <f t="shared" si="3"/>
        <v>3.125</v>
      </c>
      <c r="L35" s="157">
        <v>1.0</v>
      </c>
      <c r="M35" s="185" t="s">
        <v>190</v>
      </c>
      <c r="N35" s="158">
        <v>1.0</v>
      </c>
      <c r="O35" s="158">
        <v>2.0</v>
      </c>
      <c r="P35" s="158">
        <v>3.0</v>
      </c>
    </row>
    <row r="36" ht="22.5" customHeight="1">
      <c r="A36" s="152" t="s">
        <v>161</v>
      </c>
      <c r="B36" s="200" t="s">
        <v>60</v>
      </c>
      <c r="C36" s="110">
        <f t="shared" si="1"/>
        <v>2</v>
      </c>
      <c r="D36" s="101">
        <v>2.0</v>
      </c>
      <c r="E36" s="90">
        <f t="shared" si="2"/>
        <v>3.75</v>
      </c>
      <c r="F36" s="91" t="s">
        <v>179</v>
      </c>
      <c r="G36" s="92" t="s">
        <v>180</v>
      </c>
      <c r="H36" s="101">
        <v>0.0</v>
      </c>
      <c r="I36" s="103">
        <v>20000.0</v>
      </c>
      <c r="J36" s="159" t="s">
        <v>186</v>
      </c>
      <c r="K36" s="160">
        <f t="shared" si="3"/>
        <v>1.25</v>
      </c>
      <c r="L36" s="106">
        <v>4.0</v>
      </c>
      <c r="M36" s="103" t="s">
        <v>192</v>
      </c>
      <c r="N36" s="107">
        <v>3.0</v>
      </c>
      <c r="O36" s="107">
        <v>3.0</v>
      </c>
      <c r="P36" s="107">
        <v>5.0</v>
      </c>
    </row>
    <row r="37" ht="22.5" customHeight="1">
      <c r="A37" s="152" t="s">
        <v>71</v>
      </c>
      <c r="B37" s="179" t="s">
        <v>200</v>
      </c>
      <c r="C37" s="110">
        <f t="shared" si="1"/>
        <v>8</v>
      </c>
      <c r="D37" s="101">
        <v>8.0</v>
      </c>
      <c r="E37" s="90">
        <f t="shared" si="2"/>
        <v>0</v>
      </c>
      <c r="F37" s="91" t="s">
        <v>179</v>
      </c>
      <c r="G37" s="92" t="s">
        <v>180</v>
      </c>
      <c r="H37" s="101">
        <v>0.0</v>
      </c>
      <c r="I37" s="103">
        <v>50000.0</v>
      </c>
      <c r="J37" s="155" t="s">
        <v>186</v>
      </c>
      <c r="K37" s="156">
        <f t="shared" si="3"/>
        <v>3.125</v>
      </c>
      <c r="L37" s="157">
        <v>1.0</v>
      </c>
      <c r="M37" s="203" t="s">
        <v>201</v>
      </c>
      <c r="N37" s="158">
        <v>3.0</v>
      </c>
      <c r="O37" s="158">
        <v>1.0</v>
      </c>
      <c r="P37" s="158">
        <v>4.0</v>
      </c>
    </row>
    <row r="38" ht="22.5" customHeight="1">
      <c r="A38" s="204" t="s">
        <v>136</v>
      </c>
      <c r="B38" s="205" t="s">
        <v>200</v>
      </c>
      <c r="C38" s="110">
        <f t="shared" si="1"/>
        <v>2</v>
      </c>
      <c r="D38" s="172">
        <f>1+IF(TODAY()&lt;DATE(YEAR(TODAY()),6,1),0,DATEDIF(DATE(YEAR(TODAY()),6,1),TODAY(),"m"))</f>
        <v>2</v>
      </c>
      <c r="E38" s="90">
        <f t="shared" si="2"/>
        <v>3.75</v>
      </c>
      <c r="F38" s="112" t="s">
        <v>179</v>
      </c>
      <c r="G38" s="113" t="s">
        <v>185</v>
      </c>
      <c r="H38" s="172">
        <v>0.0</v>
      </c>
      <c r="I38" s="206">
        <v>30000.0</v>
      </c>
      <c r="J38" s="137" t="s">
        <v>186</v>
      </c>
      <c r="K38" s="178">
        <f t="shared" si="3"/>
        <v>1.875</v>
      </c>
      <c r="L38" s="96">
        <v>3.0</v>
      </c>
      <c r="M38" s="206" t="s">
        <v>192</v>
      </c>
      <c r="N38" s="98">
        <v>3.0</v>
      </c>
      <c r="O38" s="98">
        <v>4.0</v>
      </c>
      <c r="P38" s="98">
        <v>4.0</v>
      </c>
    </row>
    <row r="39" ht="22.5" customHeight="1">
      <c r="A39" s="169" t="s">
        <v>138</v>
      </c>
      <c r="B39" s="170" t="s">
        <v>200</v>
      </c>
      <c r="C39" s="110">
        <f t="shared" si="1"/>
        <v>1</v>
      </c>
      <c r="D39" s="172">
        <f>0+IF(TODAY()&lt;DATE(YEAR(TODAY()),6,0),0,DATEDIF(DATE(YEAR(TODAY()),6,0),TODAY(),"m"))</f>
        <v>1</v>
      </c>
      <c r="E39" s="90">
        <f t="shared" si="2"/>
        <v>4.375</v>
      </c>
      <c r="F39" s="112" t="s">
        <v>179</v>
      </c>
      <c r="G39" s="113" t="s">
        <v>185</v>
      </c>
      <c r="H39" s="171">
        <v>0.0</v>
      </c>
      <c r="I39" s="206">
        <v>40000.0</v>
      </c>
      <c r="J39" s="137" t="s">
        <v>186</v>
      </c>
      <c r="K39" s="138">
        <f t="shared" si="3"/>
        <v>2.5</v>
      </c>
      <c r="L39" s="139">
        <v>2.0</v>
      </c>
      <c r="M39" s="206" t="s">
        <v>201</v>
      </c>
      <c r="N39" s="140">
        <v>4.0</v>
      </c>
      <c r="O39" s="140">
        <v>4.0</v>
      </c>
      <c r="P39" s="140">
        <v>5.0</v>
      </c>
    </row>
    <row r="40" ht="22.5" customHeight="1">
      <c r="A40" s="204" t="s">
        <v>147</v>
      </c>
      <c r="B40" s="170" t="s">
        <v>200</v>
      </c>
      <c r="C40" s="110">
        <f t="shared" si="1"/>
        <v>2</v>
      </c>
      <c r="D40" s="172">
        <f t="shared" ref="D40:D41" si="7">1+IF(TODAY()&lt;DATE(YEAR(TODAY()),6,1),0,DATEDIF(DATE(YEAR(TODAY()),6,1),TODAY(),"m"))</f>
        <v>2</v>
      </c>
      <c r="E40" s="90">
        <f t="shared" si="2"/>
        <v>3.75</v>
      </c>
      <c r="F40" s="112" t="s">
        <v>179</v>
      </c>
      <c r="G40" s="113" t="s">
        <v>185</v>
      </c>
      <c r="H40" s="171">
        <v>0.0</v>
      </c>
      <c r="I40" s="206">
        <v>25000.0</v>
      </c>
      <c r="J40" s="207" t="s">
        <v>186</v>
      </c>
      <c r="K40" s="208">
        <f t="shared" si="3"/>
        <v>1.5625</v>
      </c>
      <c r="L40" s="209">
        <v>4.0</v>
      </c>
      <c r="M40" s="206" t="s">
        <v>190</v>
      </c>
      <c r="N40" s="210">
        <v>4.0</v>
      </c>
      <c r="O40" s="210">
        <v>5.0</v>
      </c>
      <c r="P40" s="210">
        <v>5.0</v>
      </c>
    </row>
    <row r="41" ht="22.5" customHeight="1">
      <c r="A41" s="211" t="s">
        <v>110</v>
      </c>
      <c r="B41" s="212" t="s">
        <v>200</v>
      </c>
      <c r="C41" s="110">
        <f t="shared" si="1"/>
        <v>2</v>
      </c>
      <c r="D41" s="132">
        <f t="shared" si="7"/>
        <v>2</v>
      </c>
      <c r="E41" s="90">
        <f t="shared" si="2"/>
        <v>3.75</v>
      </c>
      <c r="F41" s="91" t="s">
        <v>179</v>
      </c>
      <c r="G41" s="92" t="s">
        <v>185</v>
      </c>
      <c r="H41" s="132">
        <v>0.0</v>
      </c>
      <c r="I41" s="84">
        <v>10000.0</v>
      </c>
      <c r="J41" s="137" t="s">
        <v>186</v>
      </c>
      <c r="K41" s="138">
        <f t="shared" si="3"/>
        <v>0.5</v>
      </c>
      <c r="L41" s="140">
        <v>3.0</v>
      </c>
      <c r="M41" s="213" t="s">
        <v>192</v>
      </c>
      <c r="N41" s="140">
        <v>3.0</v>
      </c>
      <c r="O41" s="140">
        <v>4.0</v>
      </c>
      <c r="P41" s="139">
        <v>5.0</v>
      </c>
    </row>
    <row r="42" ht="22.5" customHeight="1">
      <c r="A42" s="214" t="s">
        <v>11</v>
      </c>
      <c r="B42" s="205" t="s">
        <v>16</v>
      </c>
      <c r="C42" s="84">
        <f t="shared" si="1"/>
        <v>0</v>
      </c>
      <c r="D42" s="172">
        <v>0.0</v>
      </c>
      <c r="E42" s="90">
        <f t="shared" si="2"/>
        <v>5</v>
      </c>
      <c r="F42" s="112" t="s">
        <v>183</v>
      </c>
      <c r="G42" s="113" t="s">
        <v>185</v>
      </c>
      <c r="H42" s="172">
        <v>1.0</v>
      </c>
      <c r="I42" s="206">
        <v>40000.0</v>
      </c>
      <c r="J42" s="137" t="s">
        <v>186</v>
      </c>
      <c r="K42" s="138">
        <f t="shared" si="3"/>
        <v>2.5</v>
      </c>
      <c r="L42" s="140">
        <v>5.0</v>
      </c>
      <c r="M42" s="215" t="s">
        <v>202</v>
      </c>
      <c r="N42" s="140">
        <v>4.0</v>
      </c>
      <c r="O42" s="140">
        <v>5.0</v>
      </c>
      <c r="P42" s="139">
        <v>5.0</v>
      </c>
    </row>
    <row r="43" ht="22.5" customHeight="1">
      <c r="A43" s="216" t="s">
        <v>203</v>
      </c>
      <c r="B43" s="217" t="s">
        <v>16</v>
      </c>
      <c r="C43" s="84">
        <f t="shared" si="1"/>
        <v>3</v>
      </c>
      <c r="D43" s="133">
        <v>3.0</v>
      </c>
      <c r="E43" s="90">
        <f t="shared" si="2"/>
        <v>3.125</v>
      </c>
      <c r="F43" s="134" t="s">
        <v>183</v>
      </c>
      <c r="G43" s="135" t="s">
        <v>185</v>
      </c>
      <c r="H43" s="133">
        <v>1.0</v>
      </c>
      <c r="I43" s="136">
        <v>80000.0</v>
      </c>
      <c r="J43" s="95" t="s">
        <v>181</v>
      </c>
      <c r="K43" s="90">
        <f t="shared" si="3"/>
        <v>5</v>
      </c>
      <c r="L43" s="210">
        <v>4.0</v>
      </c>
      <c r="M43" s="218" t="s">
        <v>192</v>
      </c>
      <c r="N43" s="210">
        <v>4.0</v>
      </c>
      <c r="O43" s="210">
        <v>3.0</v>
      </c>
      <c r="P43" s="209">
        <v>5.0</v>
      </c>
    </row>
    <row r="44" ht="22.5" customHeight="1">
      <c r="A44" s="219" t="s">
        <v>78</v>
      </c>
      <c r="B44" s="220" t="s">
        <v>16</v>
      </c>
      <c r="C44" s="84">
        <f t="shared" si="1"/>
        <v>1</v>
      </c>
      <c r="D44" s="171">
        <v>1.0</v>
      </c>
      <c r="E44" s="90">
        <f t="shared" si="2"/>
        <v>4.375</v>
      </c>
      <c r="F44" s="122" t="s">
        <v>183</v>
      </c>
      <c r="G44" s="123" t="s">
        <v>185</v>
      </c>
      <c r="H44" s="171">
        <v>1.0</v>
      </c>
      <c r="I44" s="27">
        <v>60000.0</v>
      </c>
      <c r="J44" s="95" t="s">
        <v>181</v>
      </c>
      <c r="K44" s="90">
        <f t="shared" si="3"/>
        <v>3.75</v>
      </c>
      <c r="L44" s="210">
        <v>2.0</v>
      </c>
      <c r="M44" s="221" t="s">
        <v>191</v>
      </c>
      <c r="N44" s="210">
        <v>5.0</v>
      </c>
      <c r="O44" s="210">
        <v>3.0</v>
      </c>
      <c r="P44" s="209">
        <v>5.0</v>
      </c>
    </row>
    <row r="45" ht="22.5" customHeight="1">
      <c r="A45" s="130" t="s">
        <v>89</v>
      </c>
      <c r="B45" s="217" t="s">
        <v>16</v>
      </c>
      <c r="C45" s="132">
        <f t="shared" si="1"/>
        <v>4</v>
      </c>
      <c r="D45" s="222">
        <f>3+IF(TODAY()&lt;DATE(YEAR(TODAY()),6,3),0,DATEDIF(DATE(YEAR(TODAY()),6,3),TODAY(),"m"))</f>
        <v>4</v>
      </c>
      <c r="E45" s="223">
        <f t="shared" si="2"/>
        <v>2.5</v>
      </c>
      <c r="F45" s="134" t="s">
        <v>179</v>
      </c>
      <c r="G45" s="135" t="s">
        <v>185</v>
      </c>
      <c r="H45" s="133">
        <v>0.0</v>
      </c>
      <c r="I45" s="136">
        <v>50000.0</v>
      </c>
      <c r="J45" s="224" t="s">
        <v>186</v>
      </c>
      <c r="K45" s="225">
        <f t="shared" si="3"/>
        <v>3.125</v>
      </c>
      <c r="L45" s="139">
        <v>2.0</v>
      </c>
      <c r="M45" s="136" t="s">
        <v>191</v>
      </c>
      <c r="N45" s="140">
        <v>3.0</v>
      </c>
      <c r="O45" s="140">
        <v>3.0</v>
      </c>
      <c r="P45" s="140">
        <v>4.0</v>
      </c>
    </row>
    <row r="46" ht="22.5" customHeight="1">
      <c r="A46" s="219" t="s">
        <v>149</v>
      </c>
      <c r="B46" s="220" t="s">
        <v>16</v>
      </c>
      <c r="C46" s="84">
        <f>1</f>
        <v>1</v>
      </c>
      <c r="D46" s="226">
        <v>1.0</v>
      </c>
      <c r="E46" s="223">
        <f t="shared" si="2"/>
        <v>4.375</v>
      </c>
      <c r="F46" s="112" t="s">
        <v>183</v>
      </c>
      <c r="G46" s="113" t="s">
        <v>184</v>
      </c>
      <c r="H46" s="172">
        <v>0.0</v>
      </c>
      <c r="I46" s="206">
        <v>15000.0</v>
      </c>
      <c r="J46" s="224" t="s">
        <v>181</v>
      </c>
      <c r="K46" s="225">
        <f t="shared" si="3"/>
        <v>0.5</v>
      </c>
      <c r="L46" s="139">
        <v>4.0</v>
      </c>
      <c r="M46" s="206" t="s">
        <v>191</v>
      </c>
      <c r="N46" s="140">
        <v>4.0</v>
      </c>
      <c r="O46" s="140">
        <v>4.0</v>
      </c>
      <c r="P46" s="140">
        <v>5.0</v>
      </c>
    </row>
    <row r="47">
      <c r="E47" s="227"/>
      <c r="G47" s="227"/>
      <c r="J47" s="227"/>
      <c r="K47" s="227"/>
      <c r="L47" s="227"/>
      <c r="N47" s="227"/>
      <c r="O47" s="228"/>
      <c r="P47" s="227"/>
    </row>
    <row r="48">
      <c r="E48" s="227"/>
      <c r="G48" s="227"/>
      <c r="J48" s="227"/>
      <c r="K48" s="227"/>
      <c r="L48" s="227"/>
      <c r="N48" s="227"/>
      <c r="O48" s="228"/>
      <c r="P48" s="227"/>
    </row>
    <row r="49">
      <c r="E49" s="227"/>
      <c r="G49" s="227"/>
      <c r="J49" s="227"/>
      <c r="K49" s="227"/>
      <c r="L49" s="227"/>
      <c r="N49" s="227"/>
      <c r="O49" s="228"/>
      <c r="P49" s="227"/>
    </row>
    <row r="50">
      <c r="E50" s="227"/>
      <c r="G50" s="227"/>
      <c r="J50" s="227"/>
      <c r="K50" s="227"/>
      <c r="L50" s="227"/>
      <c r="N50" s="227"/>
      <c r="O50" s="228"/>
      <c r="P50" s="227"/>
    </row>
    <row r="51">
      <c r="E51" s="227"/>
      <c r="G51" s="227"/>
      <c r="J51" s="227"/>
      <c r="K51" s="227"/>
      <c r="L51" s="227"/>
      <c r="N51" s="227"/>
      <c r="O51" s="228"/>
      <c r="P51" s="227"/>
    </row>
    <row r="52">
      <c r="E52" s="227"/>
      <c r="G52" s="227"/>
      <c r="J52" s="227"/>
      <c r="K52" s="227"/>
      <c r="L52" s="227"/>
      <c r="N52" s="227"/>
      <c r="O52" s="228"/>
      <c r="P52" s="227"/>
    </row>
    <row r="53">
      <c r="E53" s="227"/>
      <c r="G53" s="227"/>
      <c r="J53" s="227"/>
      <c r="K53" s="227"/>
      <c r="L53" s="227"/>
      <c r="N53" s="227"/>
      <c r="O53" s="228"/>
      <c r="P53" s="227"/>
    </row>
    <row r="54">
      <c r="E54" s="227"/>
      <c r="G54" s="227"/>
      <c r="J54" s="227"/>
      <c r="K54" s="227"/>
      <c r="L54" s="227"/>
      <c r="N54" s="227"/>
      <c r="O54" s="228"/>
      <c r="P54" s="227"/>
    </row>
    <row r="55">
      <c r="E55" s="227"/>
      <c r="G55" s="227"/>
      <c r="J55" s="227"/>
      <c r="K55" s="227"/>
      <c r="L55" s="227"/>
      <c r="N55" s="227"/>
      <c r="O55" s="228"/>
      <c r="P55" s="227"/>
    </row>
    <row r="56">
      <c r="E56" s="227"/>
      <c r="G56" s="227"/>
      <c r="J56" s="227"/>
      <c r="K56" s="227"/>
      <c r="L56" s="227"/>
      <c r="N56" s="227"/>
      <c r="O56" s="228"/>
      <c r="P56" s="227"/>
    </row>
    <row r="57">
      <c r="E57" s="227"/>
      <c r="G57" s="227"/>
      <c r="J57" s="227"/>
      <c r="K57" s="227"/>
      <c r="L57" s="227"/>
      <c r="N57" s="227"/>
      <c r="O57" s="228"/>
      <c r="P57" s="227"/>
    </row>
    <row r="58">
      <c r="E58" s="227"/>
      <c r="G58" s="227"/>
      <c r="J58" s="227"/>
      <c r="K58" s="227"/>
      <c r="L58" s="227"/>
      <c r="N58" s="227"/>
      <c r="O58" s="228"/>
      <c r="P58" s="227"/>
    </row>
    <row r="59">
      <c r="E59" s="227"/>
      <c r="G59" s="227"/>
      <c r="J59" s="227"/>
      <c r="K59" s="227"/>
      <c r="L59" s="227"/>
      <c r="N59" s="227"/>
      <c r="O59" s="228"/>
      <c r="P59" s="227"/>
    </row>
    <row r="60">
      <c r="E60" s="227"/>
      <c r="G60" s="227"/>
      <c r="J60" s="227"/>
      <c r="K60" s="227"/>
      <c r="L60" s="227"/>
      <c r="N60" s="227"/>
      <c r="O60" s="228"/>
      <c r="P60" s="227"/>
    </row>
    <row r="61">
      <c r="E61" s="227"/>
      <c r="G61" s="227"/>
      <c r="J61" s="227"/>
      <c r="K61" s="227"/>
      <c r="L61" s="227"/>
      <c r="N61" s="227"/>
      <c r="O61" s="228"/>
      <c r="P61" s="227"/>
    </row>
    <row r="62">
      <c r="E62" s="227"/>
      <c r="G62" s="227"/>
      <c r="J62" s="227"/>
      <c r="K62" s="227"/>
      <c r="L62" s="227"/>
      <c r="N62" s="227"/>
      <c r="O62" s="228"/>
      <c r="P62" s="227"/>
    </row>
    <row r="63">
      <c r="E63" s="227"/>
      <c r="G63" s="227"/>
      <c r="J63" s="227"/>
      <c r="K63" s="227"/>
      <c r="L63" s="227"/>
      <c r="N63" s="227"/>
      <c r="O63" s="228"/>
      <c r="P63" s="227"/>
    </row>
    <row r="64">
      <c r="E64" s="227"/>
      <c r="G64" s="227"/>
      <c r="J64" s="227"/>
      <c r="K64" s="227"/>
      <c r="L64" s="227"/>
      <c r="N64" s="227"/>
      <c r="O64" s="228"/>
      <c r="P64" s="227"/>
    </row>
    <row r="65">
      <c r="E65" s="227"/>
      <c r="G65" s="227"/>
      <c r="J65" s="227"/>
      <c r="K65" s="227"/>
      <c r="L65" s="227"/>
      <c r="N65" s="227"/>
      <c r="O65" s="228"/>
      <c r="P65" s="227"/>
    </row>
    <row r="66">
      <c r="E66" s="227"/>
      <c r="G66" s="227"/>
      <c r="J66" s="227"/>
      <c r="K66" s="227"/>
      <c r="L66" s="227"/>
      <c r="N66" s="227"/>
      <c r="O66" s="228"/>
      <c r="P66" s="227"/>
    </row>
    <row r="67">
      <c r="E67" s="227"/>
      <c r="G67" s="227"/>
      <c r="J67" s="227"/>
      <c r="K67" s="227"/>
      <c r="L67" s="227"/>
      <c r="N67" s="227"/>
      <c r="O67" s="228"/>
      <c r="P67" s="227"/>
    </row>
    <row r="68">
      <c r="E68" s="227"/>
      <c r="G68" s="227"/>
      <c r="J68" s="227"/>
      <c r="K68" s="227"/>
      <c r="L68" s="227"/>
      <c r="N68" s="227"/>
      <c r="O68" s="228"/>
      <c r="P68" s="227"/>
    </row>
    <row r="69">
      <c r="E69" s="227"/>
      <c r="G69" s="227"/>
      <c r="J69" s="227"/>
      <c r="K69" s="227"/>
      <c r="L69" s="227"/>
      <c r="N69" s="227"/>
      <c r="O69" s="228"/>
      <c r="P69" s="227"/>
    </row>
    <row r="70">
      <c r="E70" s="227"/>
      <c r="G70" s="227"/>
      <c r="J70" s="227"/>
      <c r="K70" s="227"/>
      <c r="L70" s="227"/>
      <c r="N70" s="227"/>
      <c r="O70" s="228"/>
      <c r="P70" s="227"/>
    </row>
    <row r="71">
      <c r="E71" s="227"/>
      <c r="G71" s="227"/>
      <c r="J71" s="227"/>
      <c r="K71" s="227"/>
      <c r="L71" s="227"/>
      <c r="N71" s="227"/>
      <c r="O71" s="228"/>
      <c r="P71" s="227"/>
    </row>
    <row r="72">
      <c r="E72" s="227"/>
      <c r="G72" s="227"/>
      <c r="J72" s="227"/>
      <c r="K72" s="227"/>
      <c r="L72" s="227"/>
      <c r="N72" s="227"/>
      <c r="O72" s="228"/>
      <c r="P72" s="227"/>
    </row>
    <row r="73">
      <c r="E73" s="227"/>
      <c r="G73" s="227"/>
      <c r="J73" s="227"/>
      <c r="K73" s="227"/>
      <c r="L73" s="227"/>
      <c r="N73" s="227"/>
      <c r="O73" s="228"/>
      <c r="P73" s="227"/>
    </row>
    <row r="74">
      <c r="E74" s="227"/>
      <c r="G74" s="227"/>
      <c r="J74" s="227"/>
      <c r="K74" s="227"/>
      <c r="L74" s="227"/>
      <c r="N74" s="227"/>
      <c r="O74" s="228"/>
      <c r="P74" s="227"/>
    </row>
    <row r="75">
      <c r="E75" s="227"/>
      <c r="G75" s="227"/>
      <c r="J75" s="227"/>
      <c r="K75" s="227"/>
      <c r="L75" s="227"/>
      <c r="N75" s="227"/>
      <c r="O75" s="228"/>
      <c r="P75" s="227"/>
    </row>
    <row r="76">
      <c r="E76" s="227"/>
      <c r="G76" s="227"/>
      <c r="J76" s="227"/>
      <c r="K76" s="227"/>
      <c r="L76" s="227"/>
      <c r="N76" s="227"/>
      <c r="O76" s="228"/>
      <c r="P76" s="227"/>
    </row>
    <row r="77">
      <c r="E77" s="227"/>
      <c r="G77" s="227"/>
      <c r="J77" s="227"/>
      <c r="K77" s="227"/>
      <c r="L77" s="227"/>
      <c r="N77" s="227"/>
      <c r="O77" s="228"/>
      <c r="P77" s="227"/>
    </row>
    <row r="78">
      <c r="E78" s="227"/>
      <c r="G78" s="227"/>
      <c r="J78" s="227"/>
      <c r="K78" s="227"/>
      <c r="L78" s="227"/>
      <c r="N78" s="227"/>
      <c r="O78" s="228"/>
      <c r="P78" s="227"/>
    </row>
    <row r="79">
      <c r="E79" s="227"/>
      <c r="G79" s="227"/>
      <c r="J79" s="227"/>
      <c r="K79" s="227"/>
      <c r="L79" s="227"/>
      <c r="N79" s="227"/>
      <c r="O79" s="228"/>
      <c r="P79" s="227"/>
    </row>
    <row r="80">
      <c r="E80" s="227"/>
      <c r="G80" s="227"/>
      <c r="J80" s="227"/>
      <c r="K80" s="227"/>
      <c r="L80" s="227"/>
      <c r="N80" s="227"/>
      <c r="O80" s="228"/>
      <c r="P80" s="227"/>
    </row>
    <row r="81">
      <c r="E81" s="227"/>
      <c r="G81" s="227"/>
      <c r="J81" s="227"/>
      <c r="K81" s="227"/>
      <c r="L81" s="227"/>
      <c r="N81" s="227"/>
      <c r="O81" s="228"/>
      <c r="P81" s="227"/>
    </row>
    <row r="82">
      <c r="E82" s="227"/>
      <c r="G82" s="227"/>
      <c r="J82" s="227"/>
      <c r="K82" s="227"/>
      <c r="L82" s="227"/>
      <c r="N82" s="227"/>
      <c r="O82" s="228"/>
      <c r="P82" s="227"/>
    </row>
    <row r="83">
      <c r="E83" s="227"/>
      <c r="G83" s="227"/>
      <c r="J83" s="227"/>
      <c r="K83" s="227"/>
      <c r="L83" s="227"/>
      <c r="N83" s="227"/>
      <c r="O83" s="228"/>
      <c r="P83" s="227"/>
    </row>
    <row r="84">
      <c r="E84" s="227"/>
      <c r="G84" s="227"/>
      <c r="J84" s="227"/>
      <c r="K84" s="227"/>
      <c r="L84" s="227"/>
      <c r="N84" s="227"/>
      <c r="O84" s="228"/>
      <c r="P84" s="227"/>
    </row>
    <row r="85">
      <c r="E85" s="227"/>
      <c r="G85" s="227"/>
      <c r="J85" s="227"/>
      <c r="K85" s="227"/>
      <c r="L85" s="227"/>
      <c r="N85" s="227"/>
      <c r="O85" s="228"/>
      <c r="P85" s="227"/>
    </row>
    <row r="86">
      <c r="E86" s="227"/>
      <c r="G86" s="227"/>
      <c r="J86" s="227"/>
      <c r="K86" s="227"/>
      <c r="L86" s="227"/>
      <c r="N86" s="227"/>
      <c r="O86" s="228"/>
      <c r="P86" s="227"/>
    </row>
    <row r="87">
      <c r="E87" s="227"/>
      <c r="G87" s="227"/>
      <c r="J87" s="227"/>
      <c r="K87" s="227"/>
      <c r="L87" s="227"/>
      <c r="N87" s="227"/>
      <c r="O87" s="228"/>
      <c r="P87" s="227"/>
    </row>
    <row r="88">
      <c r="E88" s="227"/>
      <c r="G88" s="227"/>
      <c r="J88" s="227"/>
      <c r="K88" s="227"/>
      <c r="L88" s="227"/>
      <c r="N88" s="227"/>
      <c r="O88" s="228"/>
      <c r="P88" s="227"/>
    </row>
    <row r="89">
      <c r="E89" s="227"/>
      <c r="G89" s="227"/>
      <c r="J89" s="227"/>
      <c r="K89" s="227"/>
      <c r="L89" s="227"/>
      <c r="N89" s="227"/>
      <c r="O89" s="228"/>
      <c r="P89" s="227"/>
    </row>
    <row r="90">
      <c r="E90" s="227"/>
      <c r="G90" s="227"/>
      <c r="J90" s="227"/>
      <c r="K90" s="227"/>
      <c r="L90" s="227"/>
      <c r="N90" s="227"/>
      <c r="O90" s="228"/>
      <c r="P90" s="227"/>
    </row>
    <row r="91">
      <c r="E91" s="227"/>
      <c r="G91" s="227"/>
      <c r="J91" s="227"/>
      <c r="K91" s="227"/>
      <c r="L91" s="227"/>
      <c r="N91" s="227"/>
      <c r="O91" s="228"/>
      <c r="P91" s="227"/>
    </row>
    <row r="92">
      <c r="E92" s="227"/>
      <c r="G92" s="227"/>
      <c r="J92" s="227"/>
      <c r="K92" s="227"/>
      <c r="L92" s="227"/>
      <c r="N92" s="227"/>
      <c r="O92" s="228"/>
      <c r="P92" s="227"/>
    </row>
    <row r="93">
      <c r="E93" s="227"/>
      <c r="G93" s="227"/>
      <c r="J93" s="227"/>
      <c r="K93" s="227"/>
      <c r="L93" s="227"/>
      <c r="N93" s="227"/>
      <c r="O93" s="228"/>
      <c r="P93" s="227"/>
    </row>
    <row r="94">
      <c r="E94" s="227"/>
      <c r="G94" s="227"/>
      <c r="J94" s="227"/>
      <c r="K94" s="227"/>
      <c r="L94" s="227"/>
      <c r="N94" s="227"/>
      <c r="O94" s="228"/>
      <c r="P94" s="227"/>
    </row>
    <row r="95">
      <c r="E95" s="227"/>
      <c r="G95" s="227"/>
      <c r="J95" s="227"/>
      <c r="K95" s="227"/>
      <c r="L95" s="227"/>
      <c r="N95" s="227"/>
      <c r="O95" s="228"/>
      <c r="P95" s="227"/>
    </row>
    <row r="96">
      <c r="E96" s="227"/>
      <c r="G96" s="227"/>
      <c r="J96" s="227"/>
      <c r="K96" s="227"/>
      <c r="L96" s="227"/>
      <c r="N96" s="227"/>
      <c r="O96" s="228"/>
      <c r="P96" s="227"/>
    </row>
    <row r="97">
      <c r="E97" s="227"/>
      <c r="G97" s="227"/>
      <c r="J97" s="227"/>
      <c r="K97" s="227"/>
      <c r="L97" s="227"/>
      <c r="N97" s="227"/>
      <c r="O97" s="228"/>
      <c r="P97" s="227"/>
    </row>
    <row r="98">
      <c r="E98" s="227"/>
      <c r="G98" s="227"/>
      <c r="J98" s="227"/>
      <c r="K98" s="227"/>
      <c r="L98" s="227"/>
      <c r="N98" s="227"/>
      <c r="O98" s="228"/>
      <c r="P98" s="227"/>
    </row>
    <row r="99">
      <c r="E99" s="227"/>
      <c r="G99" s="227"/>
      <c r="J99" s="227"/>
      <c r="K99" s="227"/>
      <c r="L99" s="227"/>
      <c r="N99" s="227"/>
      <c r="O99" s="228"/>
      <c r="P99" s="227"/>
    </row>
    <row r="100">
      <c r="E100" s="227"/>
      <c r="G100" s="227"/>
      <c r="J100" s="227"/>
      <c r="K100" s="227"/>
      <c r="L100" s="227"/>
      <c r="N100" s="227"/>
      <c r="O100" s="228"/>
      <c r="P100" s="227"/>
    </row>
    <row r="101">
      <c r="E101" s="227"/>
      <c r="G101" s="227"/>
      <c r="J101" s="227"/>
      <c r="K101" s="227"/>
      <c r="L101" s="227"/>
      <c r="N101" s="227"/>
      <c r="O101" s="228"/>
      <c r="P101" s="227"/>
    </row>
    <row r="102">
      <c r="E102" s="227"/>
      <c r="G102" s="227"/>
      <c r="J102" s="227"/>
      <c r="K102" s="227"/>
      <c r="L102" s="227"/>
      <c r="N102" s="227"/>
      <c r="O102" s="228"/>
      <c r="P102" s="227"/>
    </row>
    <row r="103">
      <c r="E103" s="227"/>
      <c r="G103" s="227"/>
      <c r="J103" s="227"/>
      <c r="K103" s="227"/>
      <c r="L103" s="227"/>
      <c r="N103" s="227"/>
      <c r="O103" s="228"/>
      <c r="P103" s="227"/>
    </row>
    <row r="104">
      <c r="E104" s="227"/>
      <c r="G104" s="227"/>
      <c r="J104" s="227"/>
      <c r="K104" s="227"/>
      <c r="L104" s="227"/>
      <c r="N104" s="227"/>
      <c r="O104" s="228"/>
      <c r="P104" s="227"/>
    </row>
    <row r="105">
      <c r="E105" s="227"/>
      <c r="G105" s="227"/>
      <c r="J105" s="227"/>
      <c r="K105" s="227"/>
      <c r="L105" s="227"/>
      <c r="N105" s="227"/>
      <c r="O105" s="228"/>
      <c r="P105" s="227"/>
    </row>
    <row r="106">
      <c r="E106" s="227"/>
      <c r="G106" s="227"/>
      <c r="J106" s="227"/>
      <c r="K106" s="227"/>
      <c r="L106" s="227"/>
      <c r="N106" s="227"/>
      <c r="O106" s="228"/>
      <c r="P106" s="227"/>
    </row>
    <row r="107">
      <c r="E107" s="227"/>
      <c r="G107" s="227"/>
      <c r="J107" s="227"/>
      <c r="K107" s="227"/>
      <c r="L107" s="227"/>
      <c r="N107" s="227"/>
      <c r="O107" s="228"/>
      <c r="P107" s="227"/>
    </row>
    <row r="108">
      <c r="E108" s="227"/>
      <c r="G108" s="227"/>
      <c r="J108" s="227"/>
      <c r="K108" s="227"/>
      <c r="L108" s="227"/>
      <c r="N108" s="227"/>
      <c r="O108" s="228"/>
      <c r="P108" s="227"/>
    </row>
    <row r="109">
      <c r="E109" s="227"/>
      <c r="G109" s="227"/>
      <c r="J109" s="227"/>
      <c r="K109" s="227"/>
      <c r="L109" s="227"/>
      <c r="N109" s="227"/>
      <c r="O109" s="228"/>
      <c r="P109" s="227"/>
    </row>
    <row r="110">
      <c r="E110" s="227"/>
      <c r="G110" s="227"/>
      <c r="J110" s="227"/>
      <c r="K110" s="227"/>
      <c r="L110" s="227"/>
      <c r="N110" s="227"/>
      <c r="O110" s="228"/>
      <c r="P110" s="227"/>
    </row>
    <row r="111">
      <c r="E111" s="227"/>
      <c r="G111" s="227"/>
      <c r="J111" s="227"/>
      <c r="K111" s="227"/>
      <c r="L111" s="227"/>
      <c r="N111" s="227"/>
      <c r="O111" s="228"/>
      <c r="P111" s="227"/>
    </row>
    <row r="112">
      <c r="E112" s="227"/>
      <c r="G112" s="227"/>
      <c r="J112" s="227"/>
      <c r="K112" s="227"/>
      <c r="L112" s="227"/>
      <c r="N112" s="227"/>
      <c r="O112" s="228"/>
      <c r="P112" s="227"/>
    </row>
    <row r="113">
      <c r="E113" s="227"/>
      <c r="G113" s="227"/>
      <c r="J113" s="227"/>
      <c r="K113" s="227"/>
      <c r="L113" s="227"/>
      <c r="N113" s="227"/>
      <c r="O113" s="228"/>
      <c r="P113" s="227"/>
    </row>
    <row r="114">
      <c r="E114" s="227"/>
      <c r="G114" s="227"/>
      <c r="J114" s="227"/>
      <c r="K114" s="227"/>
      <c r="L114" s="227"/>
      <c r="N114" s="227"/>
      <c r="O114" s="228"/>
      <c r="P114" s="227"/>
    </row>
    <row r="115">
      <c r="E115" s="227"/>
      <c r="G115" s="227"/>
      <c r="J115" s="227"/>
      <c r="K115" s="227"/>
      <c r="L115" s="227"/>
      <c r="N115" s="227"/>
      <c r="O115" s="228"/>
      <c r="P115" s="227"/>
    </row>
    <row r="116">
      <c r="E116" s="227"/>
      <c r="G116" s="227"/>
      <c r="J116" s="227"/>
      <c r="K116" s="227"/>
      <c r="L116" s="227"/>
      <c r="N116" s="227"/>
      <c r="O116" s="228"/>
      <c r="P116" s="227"/>
    </row>
    <row r="117">
      <c r="E117" s="227"/>
      <c r="G117" s="227"/>
      <c r="J117" s="227"/>
      <c r="K117" s="227"/>
      <c r="L117" s="227"/>
      <c r="N117" s="227"/>
      <c r="O117" s="228"/>
      <c r="P117" s="227"/>
    </row>
    <row r="118">
      <c r="E118" s="227"/>
      <c r="G118" s="227"/>
      <c r="J118" s="227"/>
      <c r="K118" s="227"/>
      <c r="L118" s="227"/>
      <c r="N118" s="227"/>
      <c r="O118" s="228"/>
      <c r="P118" s="227"/>
    </row>
    <row r="119">
      <c r="E119" s="227"/>
      <c r="G119" s="227"/>
      <c r="J119" s="227"/>
      <c r="K119" s="227"/>
      <c r="L119" s="227"/>
      <c r="N119" s="227"/>
      <c r="O119" s="228"/>
      <c r="P119" s="227"/>
    </row>
    <row r="120">
      <c r="E120" s="227"/>
      <c r="G120" s="227"/>
      <c r="J120" s="227"/>
      <c r="K120" s="227"/>
      <c r="L120" s="227"/>
      <c r="N120" s="227"/>
      <c r="O120" s="228"/>
      <c r="P120" s="227"/>
    </row>
    <row r="121">
      <c r="E121" s="227"/>
      <c r="G121" s="227"/>
      <c r="J121" s="227"/>
      <c r="K121" s="227"/>
      <c r="L121" s="227"/>
      <c r="N121" s="227"/>
      <c r="O121" s="228"/>
      <c r="P121" s="227"/>
    </row>
    <row r="122">
      <c r="E122" s="227"/>
      <c r="G122" s="227"/>
      <c r="J122" s="227"/>
      <c r="K122" s="227"/>
      <c r="L122" s="227"/>
      <c r="N122" s="227"/>
      <c r="O122" s="228"/>
      <c r="P122" s="227"/>
    </row>
    <row r="123">
      <c r="E123" s="227"/>
      <c r="G123" s="227"/>
      <c r="J123" s="227"/>
      <c r="K123" s="227"/>
      <c r="L123" s="227"/>
      <c r="N123" s="227"/>
      <c r="O123" s="228"/>
      <c r="P123" s="227"/>
    </row>
    <row r="124">
      <c r="E124" s="227"/>
      <c r="G124" s="227"/>
      <c r="J124" s="227"/>
      <c r="K124" s="227"/>
      <c r="L124" s="227"/>
      <c r="N124" s="227"/>
      <c r="O124" s="228"/>
      <c r="P124" s="227"/>
    </row>
    <row r="125">
      <c r="E125" s="227"/>
      <c r="G125" s="227"/>
      <c r="J125" s="227"/>
      <c r="K125" s="227"/>
      <c r="L125" s="227"/>
      <c r="N125" s="227"/>
      <c r="O125" s="228"/>
      <c r="P125" s="227"/>
    </row>
    <row r="126">
      <c r="E126" s="227"/>
      <c r="G126" s="227"/>
      <c r="J126" s="227"/>
      <c r="K126" s="227"/>
      <c r="L126" s="227"/>
      <c r="N126" s="227"/>
      <c r="O126" s="228"/>
      <c r="P126" s="227"/>
    </row>
    <row r="127">
      <c r="E127" s="227"/>
      <c r="G127" s="227"/>
      <c r="J127" s="227"/>
      <c r="K127" s="227"/>
      <c r="L127" s="227"/>
      <c r="N127" s="227"/>
      <c r="O127" s="228"/>
      <c r="P127" s="227"/>
    </row>
    <row r="128">
      <c r="E128" s="227"/>
      <c r="G128" s="227"/>
      <c r="J128" s="227"/>
      <c r="K128" s="227"/>
      <c r="L128" s="227"/>
      <c r="N128" s="227"/>
      <c r="O128" s="228"/>
      <c r="P128" s="227"/>
    </row>
    <row r="129">
      <c r="E129" s="227"/>
      <c r="G129" s="227"/>
      <c r="J129" s="227"/>
      <c r="K129" s="227"/>
      <c r="L129" s="227"/>
      <c r="N129" s="227"/>
      <c r="O129" s="228"/>
      <c r="P129" s="227"/>
    </row>
    <row r="130">
      <c r="E130" s="227"/>
      <c r="G130" s="227"/>
      <c r="J130" s="227"/>
      <c r="K130" s="227"/>
      <c r="L130" s="227"/>
      <c r="N130" s="227"/>
      <c r="O130" s="228"/>
      <c r="P130" s="227"/>
    </row>
    <row r="131">
      <c r="E131" s="227"/>
      <c r="G131" s="227"/>
      <c r="J131" s="227"/>
      <c r="K131" s="227"/>
      <c r="L131" s="227"/>
      <c r="N131" s="227"/>
      <c r="O131" s="228"/>
      <c r="P131" s="227"/>
    </row>
    <row r="132">
      <c r="E132" s="227"/>
      <c r="G132" s="227"/>
      <c r="J132" s="227"/>
      <c r="K132" s="227"/>
      <c r="L132" s="227"/>
      <c r="N132" s="227"/>
      <c r="O132" s="228"/>
      <c r="P132" s="227"/>
    </row>
    <row r="133">
      <c r="E133" s="227"/>
      <c r="G133" s="227"/>
      <c r="J133" s="227"/>
      <c r="K133" s="227"/>
      <c r="L133" s="227"/>
      <c r="N133" s="227"/>
      <c r="O133" s="228"/>
      <c r="P133" s="227"/>
    </row>
    <row r="134">
      <c r="E134" s="227"/>
      <c r="G134" s="227"/>
      <c r="J134" s="227"/>
      <c r="K134" s="227"/>
      <c r="L134" s="227"/>
      <c r="N134" s="227"/>
      <c r="O134" s="228"/>
      <c r="P134" s="227"/>
    </row>
    <row r="135">
      <c r="E135" s="227"/>
      <c r="G135" s="227"/>
      <c r="J135" s="227"/>
      <c r="K135" s="227"/>
      <c r="L135" s="227"/>
      <c r="N135" s="227"/>
      <c r="O135" s="228"/>
      <c r="P135" s="227"/>
    </row>
    <row r="136">
      <c r="E136" s="227"/>
      <c r="G136" s="227"/>
      <c r="J136" s="227"/>
      <c r="K136" s="227"/>
      <c r="L136" s="227"/>
      <c r="N136" s="227"/>
      <c r="O136" s="228"/>
      <c r="P136" s="227"/>
    </row>
    <row r="137">
      <c r="E137" s="227"/>
      <c r="G137" s="227"/>
      <c r="J137" s="227"/>
      <c r="K137" s="227"/>
      <c r="L137" s="227"/>
      <c r="N137" s="227"/>
      <c r="O137" s="228"/>
      <c r="P137" s="227"/>
    </row>
    <row r="138">
      <c r="E138" s="227"/>
      <c r="G138" s="227"/>
      <c r="J138" s="227"/>
      <c r="K138" s="227"/>
      <c r="L138" s="227"/>
      <c r="N138" s="227"/>
      <c r="O138" s="228"/>
      <c r="P138" s="227"/>
    </row>
    <row r="139">
      <c r="E139" s="227"/>
      <c r="G139" s="227"/>
      <c r="J139" s="227"/>
      <c r="K139" s="227"/>
      <c r="L139" s="227"/>
      <c r="N139" s="227"/>
      <c r="O139" s="228"/>
      <c r="P139" s="227"/>
    </row>
    <row r="140">
      <c r="E140" s="227"/>
      <c r="G140" s="227"/>
      <c r="J140" s="227"/>
      <c r="K140" s="227"/>
      <c r="L140" s="227"/>
      <c r="N140" s="227"/>
      <c r="O140" s="228"/>
      <c r="P140" s="227"/>
    </row>
    <row r="141">
      <c r="E141" s="227"/>
      <c r="G141" s="227"/>
      <c r="J141" s="227"/>
      <c r="K141" s="227"/>
      <c r="L141" s="227"/>
      <c r="N141" s="227"/>
      <c r="O141" s="228"/>
      <c r="P141" s="227"/>
    </row>
    <row r="142">
      <c r="E142" s="227"/>
      <c r="G142" s="227"/>
      <c r="J142" s="227"/>
      <c r="K142" s="227"/>
      <c r="L142" s="227"/>
      <c r="N142" s="227"/>
      <c r="O142" s="228"/>
      <c r="P142" s="227"/>
    </row>
    <row r="143">
      <c r="E143" s="227"/>
      <c r="G143" s="227"/>
      <c r="J143" s="227"/>
      <c r="K143" s="227"/>
      <c r="L143" s="227"/>
      <c r="N143" s="227"/>
      <c r="O143" s="228"/>
      <c r="P143" s="227"/>
    </row>
    <row r="144">
      <c r="E144" s="227"/>
      <c r="G144" s="227"/>
      <c r="J144" s="227"/>
      <c r="K144" s="227"/>
      <c r="L144" s="227"/>
      <c r="N144" s="227"/>
      <c r="O144" s="228"/>
      <c r="P144" s="227"/>
    </row>
    <row r="145">
      <c r="E145" s="227"/>
      <c r="G145" s="227"/>
      <c r="J145" s="227"/>
      <c r="K145" s="227"/>
      <c r="L145" s="227"/>
      <c r="N145" s="227"/>
      <c r="O145" s="228"/>
      <c r="P145" s="227"/>
    </row>
    <row r="146">
      <c r="E146" s="227"/>
      <c r="G146" s="227"/>
      <c r="J146" s="227"/>
      <c r="K146" s="227"/>
      <c r="L146" s="227"/>
      <c r="N146" s="227"/>
      <c r="O146" s="228"/>
      <c r="P146" s="227"/>
    </row>
    <row r="147">
      <c r="E147" s="227"/>
      <c r="G147" s="227"/>
      <c r="J147" s="227"/>
      <c r="K147" s="227"/>
      <c r="L147" s="227"/>
      <c r="N147" s="227"/>
      <c r="O147" s="228"/>
      <c r="P147" s="227"/>
    </row>
    <row r="148">
      <c r="E148" s="227"/>
      <c r="G148" s="227"/>
      <c r="J148" s="227"/>
      <c r="K148" s="227"/>
      <c r="L148" s="227"/>
      <c r="N148" s="227"/>
      <c r="O148" s="228"/>
      <c r="P148" s="227"/>
    </row>
    <row r="149">
      <c r="E149" s="227"/>
      <c r="G149" s="227"/>
      <c r="J149" s="227"/>
      <c r="K149" s="227"/>
      <c r="L149" s="227"/>
      <c r="N149" s="227"/>
      <c r="O149" s="228"/>
      <c r="P149" s="227"/>
    </row>
    <row r="150">
      <c r="E150" s="227"/>
      <c r="G150" s="227"/>
      <c r="J150" s="227"/>
      <c r="K150" s="227"/>
      <c r="L150" s="227"/>
      <c r="N150" s="227"/>
      <c r="O150" s="228"/>
      <c r="P150" s="227"/>
    </row>
    <row r="151">
      <c r="E151" s="227"/>
      <c r="G151" s="227"/>
      <c r="J151" s="227"/>
      <c r="K151" s="227"/>
      <c r="L151" s="227"/>
      <c r="N151" s="227"/>
      <c r="O151" s="228"/>
      <c r="P151" s="227"/>
    </row>
    <row r="152">
      <c r="E152" s="227"/>
      <c r="G152" s="227"/>
      <c r="J152" s="227"/>
      <c r="K152" s="227"/>
      <c r="L152" s="227"/>
      <c r="N152" s="227"/>
      <c r="O152" s="228"/>
      <c r="P152" s="227"/>
    </row>
    <row r="153">
      <c r="E153" s="227"/>
      <c r="G153" s="227"/>
      <c r="J153" s="227"/>
      <c r="K153" s="227"/>
      <c r="L153" s="227"/>
      <c r="N153" s="227"/>
      <c r="O153" s="228"/>
      <c r="P153" s="227"/>
    </row>
    <row r="154">
      <c r="E154" s="227"/>
      <c r="G154" s="227"/>
      <c r="J154" s="227"/>
      <c r="K154" s="227"/>
      <c r="L154" s="227"/>
      <c r="N154" s="227"/>
      <c r="O154" s="228"/>
      <c r="P154" s="227"/>
    </row>
    <row r="155">
      <c r="E155" s="227"/>
      <c r="G155" s="227"/>
      <c r="J155" s="227"/>
      <c r="K155" s="227"/>
      <c r="L155" s="227"/>
      <c r="N155" s="227"/>
      <c r="O155" s="228"/>
      <c r="P155" s="227"/>
    </row>
    <row r="156">
      <c r="E156" s="227"/>
      <c r="G156" s="227"/>
      <c r="J156" s="227"/>
      <c r="K156" s="227"/>
      <c r="L156" s="227"/>
      <c r="N156" s="227"/>
      <c r="O156" s="228"/>
      <c r="P156" s="227"/>
    </row>
    <row r="157">
      <c r="E157" s="227"/>
      <c r="G157" s="227"/>
      <c r="J157" s="227"/>
      <c r="K157" s="227"/>
      <c r="L157" s="227"/>
      <c r="N157" s="227"/>
      <c r="O157" s="228"/>
      <c r="P157" s="227"/>
    </row>
    <row r="158">
      <c r="E158" s="227"/>
      <c r="G158" s="227"/>
      <c r="J158" s="227"/>
      <c r="K158" s="227"/>
      <c r="L158" s="227"/>
      <c r="N158" s="227"/>
      <c r="O158" s="228"/>
      <c r="P158" s="227"/>
    </row>
    <row r="159">
      <c r="E159" s="227"/>
      <c r="G159" s="227"/>
      <c r="J159" s="227"/>
      <c r="K159" s="227"/>
      <c r="L159" s="227"/>
      <c r="N159" s="227"/>
      <c r="O159" s="228"/>
      <c r="P159" s="227"/>
    </row>
    <row r="160">
      <c r="E160" s="227"/>
      <c r="G160" s="227"/>
      <c r="J160" s="227"/>
      <c r="K160" s="227"/>
      <c r="L160" s="227"/>
      <c r="N160" s="227"/>
      <c r="O160" s="228"/>
      <c r="P160" s="227"/>
    </row>
    <row r="161">
      <c r="E161" s="227"/>
      <c r="G161" s="227"/>
      <c r="J161" s="227"/>
      <c r="K161" s="227"/>
      <c r="L161" s="227"/>
      <c r="N161" s="227"/>
      <c r="O161" s="228"/>
      <c r="P161" s="227"/>
    </row>
    <row r="162">
      <c r="E162" s="227"/>
      <c r="G162" s="227"/>
      <c r="J162" s="227"/>
      <c r="K162" s="227"/>
      <c r="L162" s="227"/>
      <c r="N162" s="227"/>
      <c r="O162" s="228"/>
      <c r="P162" s="227"/>
    </row>
    <row r="163">
      <c r="E163" s="227"/>
      <c r="G163" s="227"/>
      <c r="J163" s="227"/>
      <c r="K163" s="227"/>
      <c r="L163" s="227"/>
      <c r="N163" s="227"/>
      <c r="O163" s="228"/>
      <c r="P163" s="227"/>
    </row>
    <row r="164">
      <c r="E164" s="227"/>
      <c r="G164" s="227"/>
      <c r="J164" s="227"/>
      <c r="K164" s="227"/>
      <c r="L164" s="227"/>
      <c r="N164" s="227"/>
      <c r="O164" s="228"/>
      <c r="P164" s="227"/>
    </row>
    <row r="165">
      <c r="E165" s="227"/>
      <c r="G165" s="227"/>
      <c r="J165" s="227"/>
      <c r="K165" s="227"/>
      <c r="L165" s="227"/>
      <c r="N165" s="227"/>
      <c r="O165" s="228"/>
      <c r="P165" s="227"/>
    </row>
    <row r="166">
      <c r="E166" s="227"/>
      <c r="G166" s="227"/>
      <c r="J166" s="227"/>
      <c r="K166" s="227"/>
      <c r="L166" s="227"/>
      <c r="N166" s="227"/>
      <c r="O166" s="228"/>
      <c r="P166" s="227"/>
    </row>
    <row r="167">
      <c r="E167" s="227"/>
      <c r="G167" s="227"/>
      <c r="J167" s="227"/>
      <c r="K167" s="227"/>
      <c r="L167" s="227"/>
      <c r="N167" s="227"/>
      <c r="O167" s="228"/>
      <c r="P167" s="227"/>
    </row>
    <row r="168">
      <c r="E168" s="227"/>
      <c r="G168" s="227"/>
      <c r="J168" s="227"/>
      <c r="K168" s="227"/>
      <c r="L168" s="227"/>
      <c r="N168" s="227"/>
      <c r="O168" s="228"/>
      <c r="P168" s="227"/>
    </row>
    <row r="169">
      <c r="E169" s="227"/>
      <c r="G169" s="227"/>
      <c r="J169" s="227"/>
      <c r="K169" s="227"/>
      <c r="L169" s="227"/>
      <c r="N169" s="227"/>
      <c r="O169" s="228"/>
      <c r="P169" s="227"/>
    </row>
    <row r="170">
      <c r="E170" s="227"/>
      <c r="G170" s="227"/>
      <c r="J170" s="227"/>
      <c r="K170" s="227"/>
      <c r="L170" s="227"/>
      <c r="N170" s="227"/>
      <c r="O170" s="228"/>
      <c r="P170" s="227"/>
    </row>
    <row r="171">
      <c r="E171" s="227"/>
      <c r="G171" s="227"/>
      <c r="J171" s="227"/>
      <c r="K171" s="227"/>
      <c r="L171" s="227"/>
      <c r="N171" s="227"/>
      <c r="O171" s="228"/>
      <c r="P171" s="227"/>
    </row>
    <row r="172">
      <c r="E172" s="227"/>
      <c r="G172" s="227"/>
      <c r="J172" s="227"/>
      <c r="K172" s="227"/>
      <c r="L172" s="227"/>
      <c r="N172" s="227"/>
      <c r="O172" s="228"/>
      <c r="P172" s="227"/>
    </row>
    <row r="173">
      <c r="E173" s="227"/>
      <c r="G173" s="227"/>
      <c r="J173" s="227"/>
      <c r="K173" s="227"/>
      <c r="L173" s="227"/>
      <c r="N173" s="227"/>
      <c r="O173" s="228"/>
      <c r="P173" s="227"/>
    </row>
    <row r="174">
      <c r="E174" s="227"/>
      <c r="G174" s="227"/>
      <c r="J174" s="227"/>
      <c r="K174" s="227"/>
      <c r="L174" s="227"/>
      <c r="N174" s="227"/>
      <c r="O174" s="228"/>
      <c r="P174" s="227"/>
    </row>
    <row r="175">
      <c r="E175" s="227"/>
      <c r="G175" s="227"/>
      <c r="J175" s="227"/>
      <c r="K175" s="227"/>
      <c r="L175" s="227"/>
      <c r="N175" s="227"/>
      <c r="O175" s="228"/>
      <c r="P175" s="227"/>
    </row>
    <row r="176">
      <c r="E176" s="227"/>
      <c r="G176" s="227"/>
      <c r="J176" s="227"/>
      <c r="K176" s="227"/>
      <c r="L176" s="227"/>
      <c r="N176" s="227"/>
      <c r="O176" s="228"/>
      <c r="P176" s="227"/>
    </row>
    <row r="177">
      <c r="E177" s="227"/>
      <c r="G177" s="227"/>
      <c r="J177" s="227"/>
      <c r="K177" s="227"/>
      <c r="L177" s="227"/>
      <c r="N177" s="227"/>
      <c r="O177" s="228"/>
      <c r="P177" s="227"/>
    </row>
    <row r="178">
      <c r="E178" s="227"/>
      <c r="G178" s="227"/>
      <c r="J178" s="227"/>
      <c r="K178" s="227"/>
      <c r="L178" s="227"/>
      <c r="N178" s="227"/>
      <c r="O178" s="228"/>
      <c r="P178" s="227"/>
    </row>
    <row r="179">
      <c r="E179" s="227"/>
      <c r="G179" s="227"/>
      <c r="J179" s="227"/>
      <c r="K179" s="227"/>
      <c r="L179" s="227"/>
      <c r="N179" s="227"/>
      <c r="O179" s="228"/>
      <c r="P179" s="227"/>
    </row>
    <row r="180">
      <c r="E180" s="227"/>
      <c r="G180" s="227"/>
      <c r="J180" s="227"/>
      <c r="K180" s="227"/>
      <c r="L180" s="227"/>
      <c r="N180" s="227"/>
      <c r="O180" s="228"/>
      <c r="P180" s="227"/>
    </row>
    <row r="181">
      <c r="E181" s="227"/>
      <c r="G181" s="227"/>
      <c r="J181" s="227"/>
      <c r="K181" s="227"/>
      <c r="L181" s="227"/>
      <c r="N181" s="227"/>
      <c r="O181" s="228"/>
      <c r="P181" s="227"/>
    </row>
    <row r="182">
      <c r="E182" s="227"/>
      <c r="G182" s="227"/>
      <c r="J182" s="227"/>
      <c r="K182" s="227"/>
      <c r="L182" s="227"/>
      <c r="N182" s="227"/>
      <c r="O182" s="228"/>
      <c r="P182" s="227"/>
    </row>
    <row r="183">
      <c r="E183" s="227"/>
      <c r="G183" s="227"/>
      <c r="J183" s="227"/>
      <c r="K183" s="227"/>
      <c r="L183" s="227"/>
      <c r="N183" s="227"/>
      <c r="O183" s="228"/>
      <c r="P183" s="227"/>
    </row>
    <row r="184">
      <c r="E184" s="227"/>
      <c r="G184" s="227"/>
      <c r="J184" s="227"/>
      <c r="K184" s="227"/>
      <c r="L184" s="227"/>
      <c r="N184" s="227"/>
      <c r="O184" s="228"/>
      <c r="P184" s="227"/>
    </row>
    <row r="185">
      <c r="E185" s="227"/>
      <c r="G185" s="227"/>
      <c r="J185" s="227"/>
      <c r="K185" s="227"/>
      <c r="L185" s="227"/>
      <c r="N185" s="227"/>
      <c r="O185" s="228"/>
      <c r="P185" s="227"/>
    </row>
    <row r="186">
      <c r="E186" s="227"/>
      <c r="G186" s="227"/>
      <c r="J186" s="227"/>
      <c r="K186" s="227"/>
      <c r="L186" s="227"/>
      <c r="N186" s="227"/>
      <c r="O186" s="228"/>
      <c r="P186" s="227"/>
    </row>
    <row r="187">
      <c r="E187" s="227"/>
      <c r="G187" s="227"/>
      <c r="J187" s="227"/>
      <c r="K187" s="227"/>
      <c r="L187" s="227"/>
      <c r="N187" s="227"/>
      <c r="O187" s="228"/>
      <c r="P187" s="227"/>
    </row>
    <row r="188">
      <c r="E188" s="227"/>
      <c r="G188" s="227"/>
      <c r="J188" s="227"/>
      <c r="K188" s="227"/>
      <c r="L188" s="227"/>
      <c r="N188" s="227"/>
      <c r="O188" s="228"/>
      <c r="P188" s="227"/>
    </row>
    <row r="189">
      <c r="E189" s="227"/>
      <c r="G189" s="227"/>
      <c r="J189" s="227"/>
      <c r="K189" s="227"/>
      <c r="L189" s="227"/>
      <c r="N189" s="227"/>
      <c r="O189" s="228"/>
      <c r="P189" s="227"/>
    </row>
    <row r="190">
      <c r="E190" s="227"/>
      <c r="G190" s="227"/>
      <c r="J190" s="227"/>
      <c r="K190" s="227"/>
      <c r="L190" s="227"/>
      <c r="N190" s="227"/>
      <c r="O190" s="228"/>
      <c r="P190" s="227"/>
    </row>
    <row r="191">
      <c r="E191" s="227"/>
      <c r="G191" s="227"/>
      <c r="J191" s="227"/>
      <c r="K191" s="227"/>
      <c r="L191" s="227"/>
      <c r="N191" s="227"/>
      <c r="O191" s="228"/>
      <c r="P191" s="227"/>
    </row>
    <row r="192">
      <c r="E192" s="227"/>
      <c r="G192" s="227"/>
      <c r="J192" s="227"/>
      <c r="K192" s="227"/>
      <c r="L192" s="227"/>
      <c r="N192" s="227"/>
      <c r="O192" s="228"/>
      <c r="P192" s="227"/>
    </row>
    <row r="193">
      <c r="E193" s="227"/>
      <c r="G193" s="227"/>
      <c r="J193" s="227"/>
      <c r="K193" s="227"/>
      <c r="L193" s="227"/>
      <c r="N193" s="227"/>
      <c r="O193" s="228"/>
      <c r="P193" s="227"/>
    </row>
    <row r="194">
      <c r="E194" s="227"/>
      <c r="G194" s="227"/>
      <c r="J194" s="227"/>
      <c r="K194" s="227"/>
      <c r="L194" s="227"/>
      <c r="N194" s="227"/>
      <c r="O194" s="228"/>
      <c r="P194" s="227"/>
    </row>
    <row r="195">
      <c r="E195" s="227"/>
      <c r="G195" s="227"/>
      <c r="J195" s="227"/>
      <c r="K195" s="227"/>
      <c r="L195" s="227"/>
      <c r="N195" s="227"/>
      <c r="O195" s="228"/>
      <c r="P195" s="227"/>
    </row>
    <row r="196">
      <c r="E196" s="227"/>
      <c r="G196" s="227"/>
      <c r="J196" s="227"/>
      <c r="K196" s="227"/>
      <c r="L196" s="227"/>
      <c r="N196" s="227"/>
      <c r="O196" s="228"/>
      <c r="P196" s="227"/>
    </row>
    <row r="197">
      <c r="E197" s="227"/>
      <c r="G197" s="227"/>
      <c r="J197" s="227"/>
      <c r="K197" s="227"/>
      <c r="L197" s="227"/>
      <c r="N197" s="227"/>
      <c r="O197" s="228"/>
      <c r="P197" s="227"/>
    </row>
    <row r="198">
      <c r="E198" s="227"/>
      <c r="G198" s="227"/>
      <c r="J198" s="227"/>
      <c r="K198" s="227"/>
      <c r="L198" s="227"/>
      <c r="N198" s="227"/>
      <c r="O198" s="228"/>
      <c r="P198" s="227"/>
    </row>
    <row r="199">
      <c r="E199" s="227"/>
      <c r="G199" s="227"/>
      <c r="J199" s="227"/>
      <c r="K199" s="227"/>
      <c r="L199" s="227"/>
      <c r="N199" s="227"/>
      <c r="O199" s="228"/>
      <c r="P199" s="227"/>
    </row>
    <row r="200">
      <c r="E200" s="227"/>
      <c r="G200" s="227"/>
      <c r="J200" s="227"/>
      <c r="K200" s="227"/>
      <c r="L200" s="227"/>
      <c r="N200" s="227"/>
      <c r="O200" s="228"/>
      <c r="P200" s="227"/>
    </row>
    <row r="201">
      <c r="E201" s="227"/>
      <c r="G201" s="227"/>
      <c r="J201" s="227"/>
      <c r="K201" s="227"/>
      <c r="L201" s="227"/>
      <c r="N201" s="227"/>
      <c r="O201" s="228"/>
      <c r="P201" s="227"/>
    </row>
    <row r="202">
      <c r="E202" s="227"/>
      <c r="G202" s="227"/>
      <c r="J202" s="227"/>
      <c r="K202" s="227"/>
      <c r="L202" s="227"/>
      <c r="N202" s="227"/>
      <c r="O202" s="228"/>
      <c r="P202" s="227"/>
    </row>
    <row r="203">
      <c r="E203" s="227"/>
      <c r="G203" s="227"/>
      <c r="J203" s="227"/>
      <c r="K203" s="227"/>
      <c r="L203" s="227"/>
      <c r="N203" s="227"/>
      <c r="O203" s="228"/>
      <c r="P203" s="227"/>
    </row>
    <row r="204">
      <c r="E204" s="227"/>
      <c r="G204" s="227"/>
      <c r="J204" s="227"/>
      <c r="K204" s="227"/>
      <c r="L204" s="227"/>
      <c r="N204" s="227"/>
      <c r="O204" s="228"/>
      <c r="P204" s="227"/>
    </row>
    <row r="205">
      <c r="E205" s="227"/>
      <c r="G205" s="227"/>
      <c r="J205" s="227"/>
      <c r="K205" s="227"/>
      <c r="L205" s="227"/>
      <c r="N205" s="227"/>
      <c r="O205" s="228"/>
      <c r="P205" s="227"/>
    </row>
    <row r="206">
      <c r="E206" s="227"/>
      <c r="G206" s="227"/>
      <c r="J206" s="227"/>
      <c r="K206" s="227"/>
      <c r="L206" s="227"/>
      <c r="N206" s="227"/>
      <c r="O206" s="228"/>
      <c r="P206" s="227"/>
    </row>
    <row r="207">
      <c r="E207" s="227"/>
      <c r="G207" s="227"/>
      <c r="J207" s="227"/>
      <c r="K207" s="227"/>
      <c r="L207" s="227"/>
      <c r="N207" s="227"/>
      <c r="O207" s="228"/>
      <c r="P207" s="227"/>
    </row>
    <row r="208">
      <c r="E208" s="227"/>
      <c r="G208" s="227"/>
      <c r="J208" s="227"/>
      <c r="K208" s="227"/>
      <c r="L208" s="227"/>
      <c r="N208" s="227"/>
      <c r="O208" s="228"/>
      <c r="P208" s="227"/>
    </row>
    <row r="209">
      <c r="E209" s="227"/>
      <c r="G209" s="227"/>
      <c r="J209" s="227"/>
      <c r="K209" s="227"/>
      <c r="L209" s="227"/>
      <c r="N209" s="227"/>
      <c r="O209" s="228"/>
      <c r="P209" s="227"/>
    </row>
    <row r="210">
      <c r="E210" s="227"/>
      <c r="G210" s="227"/>
      <c r="J210" s="227"/>
      <c r="K210" s="227"/>
      <c r="L210" s="227"/>
      <c r="N210" s="227"/>
      <c r="O210" s="228"/>
      <c r="P210" s="227"/>
    </row>
    <row r="211">
      <c r="E211" s="227"/>
      <c r="G211" s="227"/>
      <c r="J211" s="227"/>
      <c r="K211" s="227"/>
      <c r="L211" s="227"/>
      <c r="N211" s="227"/>
      <c r="O211" s="228"/>
      <c r="P211" s="227"/>
    </row>
    <row r="212">
      <c r="E212" s="227"/>
      <c r="G212" s="227"/>
      <c r="J212" s="227"/>
      <c r="K212" s="227"/>
      <c r="L212" s="227"/>
      <c r="N212" s="227"/>
      <c r="O212" s="228"/>
      <c r="P212" s="227"/>
    </row>
    <row r="213">
      <c r="E213" s="227"/>
      <c r="G213" s="227"/>
      <c r="J213" s="227"/>
      <c r="K213" s="227"/>
      <c r="L213" s="227"/>
      <c r="N213" s="227"/>
      <c r="O213" s="228"/>
      <c r="P213" s="227"/>
    </row>
    <row r="214">
      <c r="E214" s="227"/>
      <c r="G214" s="227"/>
      <c r="J214" s="227"/>
      <c r="K214" s="227"/>
      <c r="L214" s="227"/>
      <c r="N214" s="227"/>
      <c r="O214" s="228"/>
      <c r="P214" s="227"/>
    </row>
    <row r="215">
      <c r="E215" s="227"/>
      <c r="G215" s="227"/>
      <c r="J215" s="227"/>
      <c r="K215" s="227"/>
      <c r="L215" s="227"/>
      <c r="N215" s="227"/>
      <c r="O215" s="228"/>
      <c r="P215" s="227"/>
    </row>
    <row r="216">
      <c r="E216" s="227"/>
      <c r="G216" s="227"/>
      <c r="J216" s="227"/>
      <c r="K216" s="227"/>
      <c r="L216" s="227"/>
      <c r="N216" s="227"/>
      <c r="O216" s="228"/>
      <c r="P216" s="227"/>
    </row>
    <row r="217">
      <c r="E217" s="227"/>
      <c r="G217" s="227"/>
      <c r="J217" s="227"/>
      <c r="K217" s="227"/>
      <c r="L217" s="227"/>
      <c r="N217" s="227"/>
      <c r="O217" s="228"/>
      <c r="P217" s="227"/>
    </row>
    <row r="218">
      <c r="E218" s="227"/>
      <c r="G218" s="227"/>
      <c r="J218" s="227"/>
      <c r="K218" s="227"/>
      <c r="L218" s="227"/>
      <c r="N218" s="227"/>
      <c r="O218" s="228"/>
      <c r="P218" s="227"/>
    </row>
    <row r="219">
      <c r="E219" s="227"/>
      <c r="G219" s="227"/>
      <c r="J219" s="227"/>
      <c r="K219" s="227"/>
      <c r="L219" s="227"/>
      <c r="N219" s="227"/>
      <c r="O219" s="228"/>
      <c r="P219" s="227"/>
    </row>
    <row r="220">
      <c r="E220" s="227"/>
      <c r="G220" s="227"/>
      <c r="J220" s="227"/>
      <c r="K220" s="227"/>
      <c r="L220" s="227"/>
      <c r="N220" s="227"/>
      <c r="O220" s="228"/>
      <c r="P220" s="227"/>
    </row>
    <row r="221">
      <c r="E221" s="227"/>
      <c r="G221" s="227"/>
      <c r="J221" s="227"/>
      <c r="K221" s="227"/>
      <c r="L221" s="227"/>
      <c r="N221" s="227"/>
      <c r="O221" s="228"/>
      <c r="P221" s="227"/>
    </row>
    <row r="222">
      <c r="E222" s="227"/>
      <c r="G222" s="227"/>
      <c r="J222" s="227"/>
      <c r="K222" s="227"/>
      <c r="L222" s="227"/>
      <c r="N222" s="227"/>
      <c r="O222" s="228"/>
      <c r="P222" s="227"/>
    </row>
    <row r="223">
      <c r="E223" s="227"/>
      <c r="G223" s="227"/>
      <c r="J223" s="227"/>
      <c r="K223" s="227"/>
      <c r="L223" s="227"/>
      <c r="N223" s="227"/>
      <c r="O223" s="228"/>
      <c r="P223" s="227"/>
    </row>
    <row r="224">
      <c r="E224" s="227"/>
      <c r="G224" s="227"/>
      <c r="J224" s="227"/>
      <c r="K224" s="227"/>
      <c r="L224" s="227"/>
      <c r="N224" s="227"/>
      <c r="O224" s="228"/>
      <c r="P224" s="227"/>
    </row>
    <row r="225">
      <c r="E225" s="227"/>
      <c r="G225" s="227"/>
      <c r="J225" s="227"/>
      <c r="K225" s="227"/>
      <c r="L225" s="227"/>
      <c r="N225" s="227"/>
      <c r="O225" s="228"/>
      <c r="P225" s="227"/>
    </row>
    <row r="226">
      <c r="E226" s="227"/>
      <c r="G226" s="227"/>
      <c r="J226" s="227"/>
      <c r="K226" s="227"/>
      <c r="L226" s="227"/>
      <c r="N226" s="227"/>
      <c r="O226" s="228"/>
      <c r="P226" s="227"/>
    </row>
    <row r="227">
      <c r="E227" s="227"/>
      <c r="G227" s="227"/>
      <c r="J227" s="227"/>
      <c r="K227" s="227"/>
      <c r="L227" s="227"/>
      <c r="N227" s="227"/>
      <c r="O227" s="228"/>
      <c r="P227" s="227"/>
    </row>
    <row r="228">
      <c r="E228" s="227"/>
      <c r="G228" s="227"/>
      <c r="J228" s="227"/>
      <c r="K228" s="227"/>
      <c r="L228" s="227"/>
      <c r="N228" s="227"/>
      <c r="O228" s="228"/>
      <c r="P228" s="227"/>
    </row>
    <row r="229">
      <c r="E229" s="227"/>
      <c r="G229" s="227"/>
      <c r="J229" s="227"/>
      <c r="K229" s="227"/>
      <c r="L229" s="227"/>
      <c r="N229" s="227"/>
      <c r="O229" s="228"/>
      <c r="P229" s="227"/>
    </row>
    <row r="230">
      <c r="E230" s="227"/>
      <c r="G230" s="227"/>
      <c r="J230" s="227"/>
      <c r="K230" s="227"/>
      <c r="L230" s="227"/>
      <c r="N230" s="227"/>
      <c r="O230" s="228"/>
      <c r="P230" s="227"/>
    </row>
    <row r="231">
      <c r="E231" s="227"/>
      <c r="G231" s="227"/>
      <c r="J231" s="227"/>
      <c r="K231" s="227"/>
      <c r="L231" s="227"/>
      <c r="N231" s="227"/>
      <c r="O231" s="228"/>
      <c r="P231" s="227"/>
    </row>
    <row r="232">
      <c r="E232" s="227"/>
      <c r="G232" s="227"/>
      <c r="J232" s="227"/>
      <c r="K232" s="227"/>
      <c r="L232" s="227"/>
      <c r="N232" s="227"/>
      <c r="O232" s="228"/>
      <c r="P232" s="227"/>
    </row>
    <row r="233">
      <c r="E233" s="227"/>
      <c r="G233" s="227"/>
      <c r="J233" s="227"/>
      <c r="K233" s="227"/>
      <c r="L233" s="227"/>
      <c r="N233" s="227"/>
      <c r="O233" s="228"/>
      <c r="P233" s="227"/>
    </row>
    <row r="234">
      <c r="E234" s="227"/>
      <c r="G234" s="227"/>
      <c r="J234" s="227"/>
      <c r="K234" s="227"/>
      <c r="L234" s="227"/>
      <c r="N234" s="227"/>
      <c r="O234" s="228"/>
      <c r="P234" s="227"/>
    </row>
    <row r="235">
      <c r="E235" s="227"/>
      <c r="G235" s="227"/>
      <c r="J235" s="227"/>
      <c r="K235" s="227"/>
      <c r="L235" s="227"/>
      <c r="N235" s="227"/>
      <c r="O235" s="228"/>
      <c r="P235" s="227"/>
    </row>
    <row r="236">
      <c r="E236" s="227"/>
      <c r="G236" s="227"/>
      <c r="J236" s="227"/>
      <c r="K236" s="227"/>
      <c r="L236" s="227"/>
      <c r="N236" s="227"/>
      <c r="O236" s="228"/>
      <c r="P236" s="227"/>
    </row>
    <row r="237">
      <c r="E237" s="227"/>
      <c r="G237" s="227"/>
      <c r="J237" s="227"/>
      <c r="K237" s="227"/>
      <c r="L237" s="227"/>
      <c r="N237" s="227"/>
      <c r="O237" s="228"/>
      <c r="P237" s="227"/>
    </row>
    <row r="238">
      <c r="E238" s="227"/>
      <c r="G238" s="227"/>
      <c r="J238" s="227"/>
      <c r="K238" s="227"/>
      <c r="L238" s="227"/>
      <c r="N238" s="227"/>
      <c r="O238" s="228"/>
      <c r="P238" s="227"/>
    </row>
    <row r="239">
      <c r="E239" s="227"/>
      <c r="G239" s="227"/>
      <c r="J239" s="227"/>
      <c r="K239" s="227"/>
      <c r="L239" s="227"/>
      <c r="N239" s="227"/>
      <c r="O239" s="228"/>
      <c r="P239" s="227"/>
    </row>
    <row r="240">
      <c r="E240" s="227"/>
      <c r="G240" s="227"/>
      <c r="J240" s="227"/>
      <c r="K240" s="227"/>
      <c r="L240" s="227"/>
      <c r="N240" s="227"/>
      <c r="O240" s="228"/>
      <c r="P240" s="227"/>
    </row>
    <row r="241">
      <c r="E241" s="227"/>
      <c r="G241" s="227"/>
      <c r="J241" s="227"/>
      <c r="K241" s="227"/>
      <c r="L241" s="227"/>
      <c r="N241" s="227"/>
      <c r="O241" s="228"/>
      <c r="P241" s="227"/>
    </row>
    <row r="242">
      <c r="E242" s="227"/>
      <c r="G242" s="227"/>
      <c r="J242" s="227"/>
      <c r="K242" s="227"/>
      <c r="L242" s="227"/>
      <c r="N242" s="227"/>
      <c r="O242" s="228"/>
      <c r="P242" s="227"/>
    </row>
    <row r="243">
      <c r="E243" s="227"/>
      <c r="G243" s="227"/>
      <c r="J243" s="227"/>
      <c r="K243" s="227"/>
      <c r="L243" s="227"/>
      <c r="N243" s="227"/>
      <c r="O243" s="228"/>
      <c r="P243" s="227"/>
    </row>
    <row r="244">
      <c r="E244" s="227"/>
      <c r="G244" s="227"/>
      <c r="J244" s="227"/>
      <c r="K244" s="227"/>
      <c r="L244" s="227"/>
      <c r="N244" s="227"/>
      <c r="O244" s="228"/>
      <c r="P244" s="227"/>
    </row>
    <row r="245">
      <c r="E245" s="227"/>
      <c r="G245" s="227"/>
      <c r="J245" s="227"/>
      <c r="K245" s="227"/>
      <c r="L245" s="227"/>
      <c r="N245" s="227"/>
      <c r="O245" s="228"/>
      <c r="P245" s="227"/>
    </row>
    <row r="246">
      <c r="E246" s="227"/>
      <c r="G246" s="227"/>
      <c r="J246" s="227"/>
      <c r="K246" s="227"/>
      <c r="L246" s="227"/>
      <c r="N246" s="227"/>
      <c r="O246" s="228"/>
      <c r="P246" s="227"/>
    </row>
    <row r="247">
      <c r="E247" s="227"/>
      <c r="G247" s="227"/>
      <c r="J247" s="227"/>
      <c r="K247" s="227"/>
      <c r="L247" s="227"/>
      <c r="N247" s="227"/>
      <c r="O247" s="228"/>
      <c r="P247" s="227"/>
    </row>
    <row r="248">
      <c r="E248" s="227"/>
      <c r="G248" s="227"/>
      <c r="J248" s="227"/>
      <c r="K248" s="227"/>
      <c r="L248" s="227"/>
      <c r="N248" s="227"/>
      <c r="O248" s="228"/>
      <c r="P248" s="227"/>
    </row>
    <row r="249">
      <c r="E249" s="227"/>
      <c r="G249" s="227"/>
      <c r="J249" s="227"/>
      <c r="K249" s="227"/>
      <c r="L249" s="227"/>
      <c r="N249" s="227"/>
      <c r="O249" s="228"/>
      <c r="P249" s="227"/>
    </row>
    <row r="250">
      <c r="E250" s="227"/>
      <c r="G250" s="227"/>
      <c r="J250" s="227"/>
      <c r="K250" s="227"/>
      <c r="L250" s="227"/>
      <c r="N250" s="227"/>
      <c r="O250" s="228"/>
      <c r="P250" s="227"/>
    </row>
    <row r="251">
      <c r="E251" s="227"/>
      <c r="G251" s="227"/>
      <c r="J251" s="227"/>
      <c r="K251" s="227"/>
      <c r="L251" s="227"/>
      <c r="N251" s="227"/>
      <c r="O251" s="228"/>
      <c r="P251" s="227"/>
    </row>
    <row r="252">
      <c r="E252" s="227"/>
      <c r="G252" s="227"/>
      <c r="J252" s="227"/>
      <c r="K252" s="227"/>
      <c r="L252" s="227"/>
      <c r="N252" s="227"/>
      <c r="O252" s="228"/>
      <c r="P252" s="227"/>
    </row>
    <row r="253">
      <c r="E253" s="227"/>
      <c r="G253" s="227"/>
      <c r="J253" s="227"/>
      <c r="K253" s="227"/>
      <c r="L253" s="227"/>
      <c r="N253" s="227"/>
      <c r="O253" s="228"/>
      <c r="P253" s="227"/>
    </row>
    <row r="254">
      <c r="E254" s="227"/>
      <c r="G254" s="227"/>
      <c r="J254" s="227"/>
      <c r="K254" s="227"/>
      <c r="L254" s="227"/>
      <c r="N254" s="227"/>
      <c r="O254" s="228"/>
      <c r="P254" s="227"/>
    </row>
    <row r="255">
      <c r="E255" s="227"/>
      <c r="G255" s="227"/>
      <c r="J255" s="227"/>
      <c r="K255" s="227"/>
      <c r="L255" s="227"/>
      <c r="N255" s="227"/>
      <c r="O255" s="228"/>
      <c r="P255" s="227"/>
    </row>
    <row r="256">
      <c r="E256" s="227"/>
      <c r="G256" s="227"/>
      <c r="J256" s="227"/>
      <c r="K256" s="227"/>
      <c r="L256" s="227"/>
      <c r="N256" s="227"/>
      <c r="O256" s="228"/>
      <c r="P256" s="227"/>
    </row>
    <row r="257">
      <c r="E257" s="227"/>
      <c r="G257" s="227"/>
      <c r="J257" s="227"/>
      <c r="K257" s="227"/>
      <c r="L257" s="227"/>
      <c r="N257" s="227"/>
      <c r="O257" s="228"/>
      <c r="P257" s="227"/>
    </row>
    <row r="258">
      <c r="E258" s="227"/>
      <c r="G258" s="227"/>
      <c r="J258" s="227"/>
      <c r="K258" s="227"/>
      <c r="L258" s="227"/>
      <c r="N258" s="227"/>
      <c r="O258" s="228"/>
      <c r="P258" s="227"/>
    </row>
    <row r="259">
      <c r="E259" s="227"/>
      <c r="G259" s="227"/>
      <c r="J259" s="227"/>
      <c r="K259" s="227"/>
      <c r="L259" s="227"/>
      <c r="N259" s="227"/>
      <c r="O259" s="228"/>
      <c r="P259" s="227"/>
    </row>
    <row r="260">
      <c r="E260" s="227"/>
      <c r="G260" s="227"/>
      <c r="J260" s="227"/>
      <c r="K260" s="227"/>
      <c r="L260" s="227"/>
      <c r="N260" s="227"/>
      <c r="O260" s="228"/>
      <c r="P260" s="227"/>
    </row>
    <row r="261">
      <c r="E261" s="227"/>
      <c r="G261" s="227"/>
      <c r="J261" s="227"/>
      <c r="K261" s="227"/>
      <c r="L261" s="227"/>
      <c r="N261" s="227"/>
      <c r="O261" s="228"/>
      <c r="P261" s="227"/>
    </row>
    <row r="262">
      <c r="E262" s="227"/>
      <c r="G262" s="227"/>
      <c r="J262" s="227"/>
      <c r="K262" s="227"/>
      <c r="L262" s="227"/>
      <c r="N262" s="227"/>
      <c r="O262" s="228"/>
      <c r="P262" s="227"/>
    </row>
    <row r="263">
      <c r="E263" s="227"/>
      <c r="G263" s="227"/>
      <c r="J263" s="227"/>
      <c r="K263" s="227"/>
      <c r="L263" s="227"/>
      <c r="N263" s="227"/>
      <c r="O263" s="228"/>
      <c r="P263" s="227"/>
    </row>
    <row r="264">
      <c r="E264" s="227"/>
      <c r="G264" s="227"/>
      <c r="J264" s="227"/>
      <c r="K264" s="227"/>
      <c r="L264" s="227"/>
      <c r="N264" s="227"/>
      <c r="O264" s="228"/>
      <c r="P264" s="227"/>
    </row>
    <row r="265">
      <c r="E265" s="227"/>
      <c r="G265" s="227"/>
      <c r="J265" s="227"/>
      <c r="K265" s="227"/>
      <c r="L265" s="227"/>
      <c r="N265" s="227"/>
      <c r="O265" s="228"/>
      <c r="P265" s="227"/>
    </row>
    <row r="266">
      <c r="E266" s="227"/>
      <c r="G266" s="227"/>
      <c r="J266" s="227"/>
      <c r="K266" s="227"/>
      <c r="L266" s="227"/>
      <c r="N266" s="227"/>
      <c r="O266" s="228"/>
      <c r="P266" s="227"/>
    </row>
    <row r="267">
      <c r="E267" s="227"/>
      <c r="G267" s="227"/>
      <c r="J267" s="227"/>
      <c r="K267" s="227"/>
      <c r="L267" s="227"/>
      <c r="N267" s="227"/>
      <c r="O267" s="228"/>
      <c r="P267" s="227"/>
    </row>
    <row r="268">
      <c r="E268" s="227"/>
      <c r="G268" s="227"/>
      <c r="J268" s="227"/>
      <c r="K268" s="227"/>
      <c r="L268" s="227"/>
      <c r="N268" s="227"/>
      <c r="O268" s="228"/>
      <c r="P268" s="227"/>
    </row>
    <row r="269">
      <c r="E269" s="227"/>
      <c r="G269" s="227"/>
      <c r="J269" s="227"/>
      <c r="K269" s="227"/>
      <c r="L269" s="227"/>
      <c r="N269" s="227"/>
      <c r="O269" s="228"/>
      <c r="P269" s="227"/>
    </row>
    <row r="270">
      <c r="E270" s="227"/>
      <c r="G270" s="227"/>
      <c r="J270" s="227"/>
      <c r="K270" s="227"/>
      <c r="L270" s="227"/>
      <c r="N270" s="227"/>
      <c r="O270" s="228"/>
      <c r="P270" s="227"/>
    </row>
    <row r="271">
      <c r="E271" s="227"/>
      <c r="G271" s="227"/>
      <c r="J271" s="227"/>
      <c r="K271" s="227"/>
      <c r="L271" s="227"/>
      <c r="N271" s="227"/>
      <c r="O271" s="228"/>
      <c r="P271" s="227"/>
    </row>
    <row r="272">
      <c r="E272" s="227"/>
      <c r="G272" s="227"/>
      <c r="J272" s="227"/>
      <c r="K272" s="227"/>
      <c r="L272" s="227"/>
      <c r="N272" s="227"/>
      <c r="O272" s="228"/>
      <c r="P272" s="227"/>
    </row>
    <row r="273">
      <c r="E273" s="227"/>
      <c r="G273" s="227"/>
      <c r="J273" s="227"/>
      <c r="K273" s="227"/>
      <c r="L273" s="227"/>
      <c r="N273" s="227"/>
      <c r="O273" s="228"/>
      <c r="P273" s="227"/>
    </row>
    <row r="274">
      <c r="E274" s="227"/>
      <c r="G274" s="227"/>
      <c r="J274" s="227"/>
      <c r="K274" s="227"/>
      <c r="L274" s="227"/>
      <c r="N274" s="227"/>
      <c r="O274" s="228"/>
      <c r="P274" s="227"/>
    </row>
    <row r="275">
      <c r="E275" s="227"/>
      <c r="G275" s="227"/>
      <c r="J275" s="227"/>
      <c r="K275" s="227"/>
      <c r="L275" s="227"/>
      <c r="N275" s="227"/>
      <c r="O275" s="228"/>
      <c r="P275" s="227"/>
    </row>
    <row r="276">
      <c r="E276" s="227"/>
      <c r="G276" s="227"/>
      <c r="J276" s="227"/>
      <c r="K276" s="227"/>
      <c r="L276" s="227"/>
      <c r="N276" s="227"/>
      <c r="O276" s="228"/>
      <c r="P276" s="227"/>
    </row>
    <row r="277">
      <c r="E277" s="227"/>
      <c r="G277" s="227"/>
      <c r="J277" s="227"/>
      <c r="K277" s="227"/>
      <c r="L277" s="227"/>
      <c r="N277" s="227"/>
      <c r="O277" s="228"/>
      <c r="P277" s="227"/>
    </row>
    <row r="278">
      <c r="E278" s="227"/>
      <c r="G278" s="227"/>
      <c r="J278" s="227"/>
      <c r="K278" s="227"/>
      <c r="L278" s="227"/>
      <c r="N278" s="227"/>
      <c r="O278" s="228"/>
      <c r="P278" s="227"/>
    </row>
    <row r="279">
      <c r="E279" s="227"/>
      <c r="G279" s="227"/>
      <c r="J279" s="227"/>
      <c r="K279" s="227"/>
      <c r="L279" s="227"/>
      <c r="N279" s="227"/>
      <c r="O279" s="228"/>
      <c r="P279" s="227"/>
    </row>
    <row r="280">
      <c r="E280" s="227"/>
      <c r="G280" s="227"/>
      <c r="J280" s="227"/>
      <c r="K280" s="227"/>
      <c r="L280" s="227"/>
      <c r="N280" s="227"/>
      <c r="O280" s="228"/>
      <c r="P280" s="227"/>
    </row>
    <row r="281">
      <c r="E281" s="227"/>
      <c r="G281" s="227"/>
      <c r="J281" s="227"/>
      <c r="K281" s="227"/>
      <c r="L281" s="227"/>
      <c r="N281" s="227"/>
      <c r="O281" s="228"/>
      <c r="P281" s="227"/>
    </row>
    <row r="282">
      <c r="E282" s="227"/>
      <c r="G282" s="227"/>
      <c r="J282" s="227"/>
      <c r="K282" s="227"/>
      <c r="L282" s="227"/>
      <c r="N282" s="227"/>
      <c r="O282" s="228"/>
      <c r="P282" s="227"/>
    </row>
    <row r="283">
      <c r="E283" s="227"/>
      <c r="G283" s="227"/>
      <c r="J283" s="227"/>
      <c r="K283" s="227"/>
      <c r="L283" s="227"/>
      <c r="N283" s="227"/>
      <c r="O283" s="228"/>
      <c r="P283" s="227"/>
    </row>
    <row r="284">
      <c r="E284" s="227"/>
      <c r="G284" s="227"/>
      <c r="J284" s="227"/>
      <c r="K284" s="227"/>
      <c r="L284" s="227"/>
      <c r="N284" s="227"/>
      <c r="O284" s="228"/>
      <c r="P284" s="227"/>
    </row>
    <row r="285">
      <c r="E285" s="227"/>
      <c r="G285" s="227"/>
      <c r="J285" s="227"/>
      <c r="K285" s="227"/>
      <c r="L285" s="227"/>
      <c r="N285" s="227"/>
      <c r="O285" s="228"/>
      <c r="P285" s="227"/>
    </row>
    <row r="286">
      <c r="E286" s="227"/>
      <c r="G286" s="227"/>
      <c r="J286" s="227"/>
      <c r="K286" s="227"/>
      <c r="L286" s="227"/>
      <c r="N286" s="227"/>
      <c r="O286" s="228"/>
      <c r="P286" s="227"/>
    </row>
    <row r="287">
      <c r="E287" s="227"/>
      <c r="G287" s="227"/>
      <c r="J287" s="227"/>
      <c r="K287" s="227"/>
      <c r="L287" s="227"/>
      <c r="N287" s="227"/>
      <c r="O287" s="228"/>
      <c r="P287" s="227"/>
    </row>
    <row r="288">
      <c r="E288" s="227"/>
      <c r="G288" s="227"/>
      <c r="J288" s="227"/>
      <c r="K288" s="227"/>
      <c r="L288" s="227"/>
      <c r="N288" s="227"/>
      <c r="O288" s="228"/>
      <c r="P288" s="227"/>
    </row>
    <row r="289">
      <c r="E289" s="227"/>
      <c r="G289" s="227"/>
      <c r="J289" s="227"/>
      <c r="K289" s="227"/>
      <c r="L289" s="227"/>
      <c r="N289" s="227"/>
      <c r="O289" s="228"/>
      <c r="P289" s="227"/>
    </row>
    <row r="290">
      <c r="E290" s="227"/>
      <c r="G290" s="227"/>
      <c r="J290" s="227"/>
      <c r="K290" s="227"/>
      <c r="L290" s="227"/>
      <c r="N290" s="227"/>
      <c r="O290" s="228"/>
      <c r="P290" s="227"/>
    </row>
    <row r="291">
      <c r="E291" s="227"/>
      <c r="G291" s="227"/>
      <c r="J291" s="227"/>
      <c r="K291" s="227"/>
      <c r="L291" s="227"/>
      <c r="N291" s="227"/>
      <c r="O291" s="228"/>
      <c r="P291" s="227"/>
    </row>
    <row r="292">
      <c r="E292" s="227"/>
      <c r="G292" s="227"/>
      <c r="J292" s="227"/>
      <c r="K292" s="227"/>
      <c r="L292" s="227"/>
      <c r="N292" s="227"/>
      <c r="O292" s="228"/>
      <c r="P292" s="227"/>
    </row>
    <row r="293">
      <c r="E293" s="227"/>
      <c r="G293" s="227"/>
      <c r="J293" s="227"/>
      <c r="K293" s="227"/>
      <c r="L293" s="227"/>
      <c r="N293" s="227"/>
      <c r="O293" s="228"/>
      <c r="P293" s="227"/>
    </row>
    <row r="294">
      <c r="E294" s="227"/>
      <c r="G294" s="227"/>
      <c r="J294" s="227"/>
      <c r="K294" s="227"/>
      <c r="L294" s="227"/>
      <c r="N294" s="227"/>
      <c r="O294" s="228"/>
      <c r="P294" s="227"/>
    </row>
    <row r="295">
      <c r="E295" s="227"/>
      <c r="G295" s="227"/>
      <c r="J295" s="227"/>
      <c r="K295" s="227"/>
      <c r="L295" s="227"/>
      <c r="N295" s="227"/>
      <c r="O295" s="228"/>
      <c r="P295" s="227"/>
    </row>
    <row r="296">
      <c r="E296" s="227"/>
      <c r="G296" s="227"/>
      <c r="J296" s="227"/>
      <c r="K296" s="227"/>
      <c r="L296" s="227"/>
      <c r="N296" s="227"/>
      <c r="O296" s="228"/>
      <c r="P296" s="227"/>
    </row>
    <row r="297">
      <c r="E297" s="227"/>
      <c r="G297" s="227"/>
      <c r="J297" s="227"/>
      <c r="K297" s="227"/>
      <c r="L297" s="227"/>
      <c r="N297" s="227"/>
      <c r="O297" s="228"/>
      <c r="P297" s="227"/>
    </row>
    <row r="298">
      <c r="E298" s="227"/>
      <c r="G298" s="227"/>
      <c r="J298" s="227"/>
      <c r="K298" s="227"/>
      <c r="L298" s="227"/>
      <c r="N298" s="227"/>
      <c r="O298" s="228"/>
      <c r="P298" s="227"/>
    </row>
    <row r="299">
      <c r="E299" s="227"/>
      <c r="G299" s="227"/>
      <c r="J299" s="227"/>
      <c r="K299" s="227"/>
      <c r="L299" s="227"/>
      <c r="N299" s="227"/>
      <c r="O299" s="228"/>
      <c r="P299" s="227"/>
    </row>
    <row r="300">
      <c r="E300" s="227"/>
      <c r="G300" s="227"/>
      <c r="J300" s="227"/>
      <c r="K300" s="227"/>
      <c r="L300" s="227"/>
      <c r="N300" s="227"/>
      <c r="O300" s="228"/>
      <c r="P300" s="227"/>
    </row>
    <row r="301">
      <c r="E301" s="227"/>
      <c r="G301" s="227"/>
      <c r="J301" s="227"/>
      <c r="K301" s="227"/>
      <c r="L301" s="227"/>
      <c r="N301" s="227"/>
      <c r="O301" s="228"/>
      <c r="P301" s="227"/>
    </row>
    <row r="302">
      <c r="E302" s="227"/>
      <c r="G302" s="227"/>
      <c r="J302" s="227"/>
      <c r="K302" s="227"/>
      <c r="L302" s="227"/>
      <c r="N302" s="227"/>
      <c r="O302" s="228"/>
      <c r="P302" s="227"/>
    </row>
    <row r="303">
      <c r="E303" s="227"/>
      <c r="G303" s="227"/>
      <c r="J303" s="227"/>
      <c r="K303" s="227"/>
      <c r="L303" s="227"/>
      <c r="N303" s="227"/>
      <c r="O303" s="228"/>
      <c r="P303" s="227"/>
    </row>
    <row r="304">
      <c r="E304" s="227"/>
      <c r="G304" s="227"/>
      <c r="J304" s="227"/>
      <c r="K304" s="227"/>
      <c r="L304" s="227"/>
      <c r="N304" s="227"/>
      <c r="O304" s="228"/>
      <c r="P304" s="227"/>
    </row>
    <row r="305">
      <c r="E305" s="227"/>
      <c r="G305" s="227"/>
      <c r="J305" s="227"/>
      <c r="K305" s="227"/>
      <c r="L305" s="227"/>
      <c r="N305" s="227"/>
      <c r="O305" s="228"/>
      <c r="P305" s="227"/>
    </row>
    <row r="306">
      <c r="E306" s="227"/>
      <c r="G306" s="227"/>
      <c r="J306" s="227"/>
      <c r="K306" s="227"/>
      <c r="L306" s="227"/>
      <c r="N306" s="227"/>
      <c r="O306" s="228"/>
      <c r="P306" s="227"/>
    </row>
    <row r="307">
      <c r="E307" s="227"/>
      <c r="G307" s="227"/>
      <c r="J307" s="227"/>
      <c r="K307" s="227"/>
      <c r="L307" s="227"/>
      <c r="N307" s="227"/>
      <c r="O307" s="228"/>
      <c r="P307" s="227"/>
    </row>
    <row r="308">
      <c r="E308" s="227"/>
      <c r="G308" s="227"/>
      <c r="J308" s="227"/>
      <c r="K308" s="227"/>
      <c r="L308" s="227"/>
      <c r="N308" s="227"/>
      <c r="O308" s="228"/>
      <c r="P308" s="227"/>
    </row>
    <row r="309">
      <c r="E309" s="227"/>
      <c r="G309" s="227"/>
      <c r="J309" s="227"/>
      <c r="K309" s="227"/>
      <c r="L309" s="227"/>
      <c r="N309" s="227"/>
      <c r="O309" s="228"/>
      <c r="P309" s="227"/>
    </row>
    <row r="310">
      <c r="E310" s="227"/>
      <c r="G310" s="227"/>
      <c r="J310" s="227"/>
      <c r="K310" s="227"/>
      <c r="L310" s="227"/>
      <c r="N310" s="227"/>
      <c r="O310" s="228"/>
      <c r="P310" s="227"/>
    </row>
    <row r="311">
      <c r="E311" s="227"/>
      <c r="G311" s="227"/>
      <c r="J311" s="227"/>
      <c r="K311" s="227"/>
      <c r="L311" s="227"/>
      <c r="N311" s="227"/>
      <c r="O311" s="228"/>
      <c r="P311" s="227"/>
    </row>
    <row r="312">
      <c r="E312" s="227"/>
      <c r="G312" s="227"/>
      <c r="J312" s="227"/>
      <c r="K312" s="227"/>
      <c r="L312" s="227"/>
      <c r="N312" s="227"/>
      <c r="O312" s="228"/>
      <c r="P312" s="227"/>
    </row>
    <row r="313">
      <c r="E313" s="227"/>
      <c r="G313" s="227"/>
      <c r="J313" s="227"/>
      <c r="K313" s="227"/>
      <c r="L313" s="227"/>
      <c r="N313" s="227"/>
      <c r="O313" s="228"/>
      <c r="P313" s="227"/>
    </row>
    <row r="314">
      <c r="E314" s="227"/>
      <c r="G314" s="227"/>
      <c r="J314" s="227"/>
      <c r="K314" s="227"/>
      <c r="L314" s="227"/>
      <c r="N314" s="227"/>
      <c r="O314" s="228"/>
      <c r="P314" s="227"/>
    </row>
    <row r="315">
      <c r="E315" s="227"/>
      <c r="G315" s="227"/>
      <c r="J315" s="227"/>
      <c r="K315" s="227"/>
      <c r="L315" s="227"/>
      <c r="N315" s="227"/>
      <c r="O315" s="228"/>
      <c r="P315" s="227"/>
    </row>
    <row r="316">
      <c r="E316" s="227"/>
      <c r="G316" s="227"/>
      <c r="J316" s="227"/>
      <c r="K316" s="227"/>
      <c r="L316" s="227"/>
      <c r="N316" s="227"/>
      <c r="O316" s="228"/>
      <c r="P316" s="227"/>
    </row>
    <row r="317">
      <c r="E317" s="227"/>
      <c r="G317" s="227"/>
      <c r="J317" s="227"/>
      <c r="K317" s="227"/>
      <c r="L317" s="227"/>
      <c r="N317" s="227"/>
      <c r="O317" s="228"/>
      <c r="P317" s="227"/>
    </row>
    <row r="318">
      <c r="E318" s="227"/>
      <c r="G318" s="227"/>
      <c r="J318" s="227"/>
      <c r="K318" s="227"/>
      <c r="L318" s="227"/>
      <c r="N318" s="227"/>
      <c r="O318" s="228"/>
      <c r="P318" s="227"/>
    </row>
    <row r="319">
      <c r="E319" s="227"/>
      <c r="G319" s="227"/>
      <c r="J319" s="227"/>
      <c r="K319" s="227"/>
      <c r="L319" s="227"/>
      <c r="N319" s="227"/>
      <c r="O319" s="228"/>
      <c r="P319" s="227"/>
    </row>
    <row r="320">
      <c r="E320" s="227"/>
      <c r="G320" s="227"/>
      <c r="J320" s="227"/>
      <c r="K320" s="227"/>
      <c r="L320" s="227"/>
      <c r="N320" s="227"/>
      <c r="O320" s="228"/>
      <c r="P320" s="227"/>
    </row>
    <row r="321">
      <c r="E321" s="227"/>
      <c r="G321" s="227"/>
      <c r="J321" s="227"/>
      <c r="K321" s="227"/>
      <c r="L321" s="227"/>
      <c r="N321" s="227"/>
      <c r="O321" s="228"/>
      <c r="P321" s="227"/>
    </row>
    <row r="322">
      <c r="E322" s="227"/>
      <c r="G322" s="227"/>
      <c r="J322" s="227"/>
      <c r="K322" s="227"/>
      <c r="L322" s="227"/>
      <c r="N322" s="227"/>
      <c r="O322" s="228"/>
      <c r="P322" s="227"/>
    </row>
    <row r="323">
      <c r="E323" s="227"/>
      <c r="G323" s="227"/>
      <c r="J323" s="227"/>
      <c r="K323" s="227"/>
      <c r="L323" s="227"/>
      <c r="N323" s="227"/>
      <c r="O323" s="228"/>
      <c r="P323" s="227"/>
    </row>
    <row r="324">
      <c r="E324" s="227"/>
      <c r="G324" s="227"/>
      <c r="J324" s="227"/>
      <c r="K324" s="227"/>
      <c r="L324" s="227"/>
      <c r="N324" s="227"/>
      <c r="O324" s="228"/>
      <c r="P324" s="227"/>
    </row>
    <row r="325">
      <c r="E325" s="227"/>
      <c r="G325" s="227"/>
      <c r="J325" s="227"/>
      <c r="K325" s="227"/>
      <c r="L325" s="227"/>
      <c r="N325" s="227"/>
      <c r="O325" s="228"/>
      <c r="P325" s="227"/>
    </row>
    <row r="326">
      <c r="E326" s="227"/>
      <c r="G326" s="227"/>
      <c r="J326" s="227"/>
      <c r="K326" s="227"/>
      <c r="L326" s="227"/>
      <c r="N326" s="227"/>
      <c r="O326" s="228"/>
      <c r="P326" s="227"/>
    </row>
    <row r="327">
      <c r="E327" s="227"/>
      <c r="G327" s="227"/>
      <c r="J327" s="227"/>
      <c r="K327" s="227"/>
      <c r="L327" s="227"/>
      <c r="N327" s="227"/>
      <c r="O327" s="228"/>
      <c r="P327" s="227"/>
    </row>
    <row r="328">
      <c r="E328" s="227"/>
      <c r="G328" s="227"/>
      <c r="J328" s="227"/>
      <c r="K328" s="227"/>
      <c r="L328" s="227"/>
      <c r="N328" s="227"/>
      <c r="O328" s="228"/>
      <c r="P328" s="227"/>
    </row>
    <row r="329">
      <c r="E329" s="227"/>
      <c r="G329" s="227"/>
      <c r="J329" s="227"/>
      <c r="K329" s="227"/>
      <c r="L329" s="227"/>
      <c r="N329" s="227"/>
      <c r="O329" s="228"/>
      <c r="P329" s="227"/>
    </row>
    <row r="330">
      <c r="E330" s="227"/>
      <c r="G330" s="227"/>
      <c r="J330" s="227"/>
      <c r="K330" s="227"/>
      <c r="L330" s="227"/>
      <c r="N330" s="227"/>
      <c r="O330" s="228"/>
      <c r="P330" s="227"/>
    </row>
    <row r="331">
      <c r="E331" s="227"/>
      <c r="G331" s="227"/>
      <c r="J331" s="227"/>
      <c r="K331" s="227"/>
      <c r="L331" s="227"/>
      <c r="N331" s="227"/>
      <c r="O331" s="228"/>
      <c r="P331" s="227"/>
    </row>
    <row r="332">
      <c r="E332" s="227"/>
      <c r="G332" s="227"/>
      <c r="J332" s="227"/>
      <c r="K332" s="227"/>
      <c r="L332" s="227"/>
      <c r="N332" s="227"/>
      <c r="O332" s="228"/>
      <c r="P332" s="227"/>
    </row>
    <row r="333">
      <c r="E333" s="227"/>
      <c r="G333" s="227"/>
      <c r="J333" s="227"/>
      <c r="K333" s="227"/>
      <c r="L333" s="227"/>
      <c r="N333" s="227"/>
      <c r="O333" s="228"/>
      <c r="P333" s="227"/>
    </row>
    <row r="334">
      <c r="E334" s="227"/>
      <c r="G334" s="227"/>
      <c r="J334" s="227"/>
      <c r="K334" s="227"/>
      <c r="L334" s="227"/>
      <c r="N334" s="227"/>
      <c r="O334" s="228"/>
      <c r="P334" s="227"/>
    </row>
    <row r="335">
      <c r="E335" s="227"/>
      <c r="G335" s="227"/>
      <c r="J335" s="227"/>
      <c r="K335" s="227"/>
      <c r="L335" s="227"/>
      <c r="N335" s="227"/>
      <c r="O335" s="228"/>
      <c r="P335" s="227"/>
    </row>
    <row r="336">
      <c r="E336" s="227"/>
      <c r="G336" s="227"/>
      <c r="J336" s="227"/>
      <c r="K336" s="227"/>
      <c r="L336" s="227"/>
      <c r="N336" s="227"/>
      <c r="O336" s="228"/>
      <c r="P336" s="227"/>
    </row>
    <row r="337">
      <c r="E337" s="227"/>
      <c r="G337" s="227"/>
      <c r="J337" s="227"/>
      <c r="K337" s="227"/>
      <c r="L337" s="227"/>
      <c r="N337" s="227"/>
      <c r="O337" s="228"/>
      <c r="P337" s="227"/>
    </row>
    <row r="338">
      <c r="E338" s="227"/>
      <c r="G338" s="227"/>
      <c r="J338" s="227"/>
      <c r="K338" s="227"/>
      <c r="L338" s="227"/>
      <c r="N338" s="227"/>
      <c r="O338" s="228"/>
      <c r="P338" s="227"/>
    </row>
    <row r="339">
      <c r="E339" s="227"/>
      <c r="G339" s="227"/>
      <c r="J339" s="227"/>
      <c r="K339" s="227"/>
      <c r="L339" s="227"/>
      <c r="N339" s="227"/>
      <c r="O339" s="228"/>
      <c r="P339" s="227"/>
    </row>
    <row r="340">
      <c r="E340" s="227"/>
      <c r="G340" s="227"/>
      <c r="J340" s="227"/>
      <c r="K340" s="227"/>
      <c r="L340" s="227"/>
      <c r="N340" s="227"/>
      <c r="O340" s="228"/>
      <c r="P340" s="227"/>
    </row>
    <row r="341">
      <c r="E341" s="227"/>
      <c r="G341" s="227"/>
      <c r="J341" s="227"/>
      <c r="K341" s="227"/>
      <c r="L341" s="227"/>
      <c r="N341" s="227"/>
      <c r="O341" s="228"/>
      <c r="P341" s="227"/>
    </row>
    <row r="342">
      <c r="E342" s="227"/>
      <c r="G342" s="227"/>
      <c r="J342" s="227"/>
      <c r="K342" s="227"/>
      <c r="L342" s="227"/>
      <c r="N342" s="227"/>
      <c r="O342" s="228"/>
      <c r="P342" s="227"/>
    </row>
    <row r="343">
      <c r="E343" s="227"/>
      <c r="G343" s="227"/>
      <c r="J343" s="227"/>
      <c r="K343" s="227"/>
      <c r="L343" s="227"/>
      <c r="N343" s="227"/>
      <c r="O343" s="228"/>
      <c r="P343" s="227"/>
    </row>
    <row r="344">
      <c r="E344" s="227"/>
      <c r="G344" s="227"/>
      <c r="J344" s="227"/>
      <c r="K344" s="227"/>
      <c r="L344" s="227"/>
      <c r="N344" s="227"/>
      <c r="O344" s="228"/>
      <c r="P344" s="227"/>
    </row>
    <row r="345">
      <c r="E345" s="227"/>
      <c r="G345" s="227"/>
      <c r="J345" s="227"/>
      <c r="K345" s="227"/>
      <c r="L345" s="227"/>
      <c r="N345" s="227"/>
      <c r="O345" s="228"/>
      <c r="P345" s="227"/>
    </row>
    <row r="346">
      <c r="E346" s="227"/>
      <c r="G346" s="227"/>
      <c r="J346" s="227"/>
      <c r="K346" s="227"/>
      <c r="L346" s="227"/>
      <c r="N346" s="227"/>
      <c r="O346" s="228"/>
      <c r="P346" s="227"/>
    </row>
    <row r="347">
      <c r="E347" s="227"/>
      <c r="G347" s="227"/>
      <c r="J347" s="227"/>
      <c r="K347" s="227"/>
      <c r="L347" s="227"/>
      <c r="N347" s="227"/>
      <c r="O347" s="228"/>
      <c r="P347" s="227"/>
    </row>
    <row r="348">
      <c r="E348" s="227"/>
      <c r="G348" s="227"/>
      <c r="J348" s="227"/>
      <c r="K348" s="227"/>
      <c r="L348" s="227"/>
      <c r="N348" s="227"/>
      <c r="O348" s="228"/>
      <c r="P348" s="227"/>
    </row>
    <row r="349">
      <c r="E349" s="227"/>
      <c r="G349" s="227"/>
      <c r="J349" s="227"/>
      <c r="K349" s="227"/>
      <c r="L349" s="227"/>
      <c r="N349" s="227"/>
      <c r="O349" s="228"/>
      <c r="P349" s="227"/>
    </row>
    <row r="350">
      <c r="E350" s="227"/>
      <c r="G350" s="227"/>
      <c r="J350" s="227"/>
      <c r="K350" s="227"/>
      <c r="L350" s="227"/>
      <c r="N350" s="227"/>
      <c r="O350" s="228"/>
      <c r="P350" s="227"/>
    </row>
    <row r="351">
      <c r="E351" s="227"/>
      <c r="G351" s="227"/>
      <c r="J351" s="227"/>
      <c r="K351" s="227"/>
      <c r="L351" s="227"/>
      <c r="N351" s="227"/>
      <c r="O351" s="228"/>
      <c r="P351" s="227"/>
    </row>
    <row r="352">
      <c r="E352" s="227"/>
      <c r="G352" s="227"/>
      <c r="J352" s="227"/>
      <c r="K352" s="227"/>
      <c r="L352" s="227"/>
      <c r="N352" s="227"/>
      <c r="O352" s="228"/>
      <c r="P352" s="227"/>
    </row>
    <row r="353">
      <c r="E353" s="227"/>
      <c r="G353" s="227"/>
      <c r="J353" s="227"/>
      <c r="K353" s="227"/>
      <c r="L353" s="227"/>
      <c r="N353" s="227"/>
      <c r="O353" s="228"/>
      <c r="P353" s="227"/>
    </row>
    <row r="354">
      <c r="E354" s="227"/>
      <c r="G354" s="227"/>
      <c r="J354" s="227"/>
      <c r="K354" s="227"/>
      <c r="L354" s="227"/>
      <c r="N354" s="227"/>
      <c r="O354" s="228"/>
      <c r="P354" s="227"/>
    </row>
    <row r="355">
      <c r="E355" s="227"/>
      <c r="G355" s="227"/>
      <c r="J355" s="227"/>
      <c r="K355" s="227"/>
      <c r="L355" s="227"/>
      <c r="N355" s="227"/>
      <c r="O355" s="228"/>
      <c r="P355" s="227"/>
    </row>
    <row r="356">
      <c r="E356" s="227"/>
      <c r="G356" s="227"/>
      <c r="J356" s="227"/>
      <c r="K356" s="227"/>
      <c r="L356" s="227"/>
      <c r="N356" s="227"/>
      <c r="O356" s="228"/>
      <c r="P356" s="227"/>
    </row>
    <row r="357">
      <c r="E357" s="227"/>
      <c r="G357" s="227"/>
      <c r="J357" s="227"/>
      <c r="K357" s="227"/>
      <c r="L357" s="227"/>
      <c r="N357" s="227"/>
      <c r="O357" s="228"/>
      <c r="P357" s="227"/>
    </row>
    <row r="358">
      <c r="E358" s="227"/>
      <c r="G358" s="227"/>
      <c r="J358" s="227"/>
      <c r="K358" s="227"/>
      <c r="L358" s="227"/>
      <c r="N358" s="227"/>
      <c r="O358" s="228"/>
      <c r="P358" s="227"/>
    </row>
    <row r="359">
      <c r="E359" s="227"/>
      <c r="G359" s="227"/>
      <c r="J359" s="227"/>
      <c r="K359" s="227"/>
      <c r="L359" s="227"/>
      <c r="N359" s="227"/>
      <c r="O359" s="228"/>
      <c r="P359" s="227"/>
    </row>
    <row r="360">
      <c r="E360" s="227"/>
      <c r="G360" s="227"/>
      <c r="J360" s="227"/>
      <c r="K360" s="227"/>
      <c r="L360" s="227"/>
      <c r="N360" s="227"/>
      <c r="O360" s="228"/>
      <c r="P360" s="227"/>
    </row>
    <row r="361">
      <c r="E361" s="227"/>
      <c r="G361" s="227"/>
      <c r="J361" s="227"/>
      <c r="K361" s="227"/>
      <c r="L361" s="227"/>
      <c r="N361" s="227"/>
      <c r="O361" s="228"/>
      <c r="P361" s="227"/>
    </row>
    <row r="362">
      <c r="E362" s="227"/>
      <c r="G362" s="227"/>
      <c r="J362" s="227"/>
      <c r="K362" s="227"/>
      <c r="L362" s="227"/>
      <c r="N362" s="227"/>
      <c r="O362" s="228"/>
      <c r="P362" s="227"/>
    </row>
    <row r="363">
      <c r="E363" s="227"/>
      <c r="G363" s="227"/>
      <c r="J363" s="227"/>
      <c r="K363" s="227"/>
      <c r="L363" s="227"/>
      <c r="N363" s="227"/>
      <c r="O363" s="228"/>
      <c r="P363" s="227"/>
    </row>
    <row r="364">
      <c r="E364" s="227"/>
      <c r="G364" s="227"/>
      <c r="J364" s="227"/>
      <c r="K364" s="227"/>
      <c r="L364" s="227"/>
      <c r="N364" s="227"/>
      <c r="O364" s="228"/>
      <c r="P364" s="227"/>
    </row>
    <row r="365">
      <c r="E365" s="227"/>
      <c r="G365" s="227"/>
      <c r="J365" s="227"/>
      <c r="K365" s="227"/>
      <c r="L365" s="227"/>
      <c r="N365" s="227"/>
      <c r="O365" s="228"/>
      <c r="P365" s="227"/>
    </row>
    <row r="366">
      <c r="E366" s="227"/>
      <c r="G366" s="227"/>
      <c r="J366" s="227"/>
      <c r="K366" s="227"/>
      <c r="L366" s="227"/>
      <c r="N366" s="227"/>
      <c r="O366" s="228"/>
      <c r="P366" s="227"/>
    </row>
    <row r="367">
      <c r="E367" s="227"/>
      <c r="G367" s="227"/>
      <c r="J367" s="227"/>
      <c r="K367" s="227"/>
      <c r="L367" s="227"/>
      <c r="N367" s="227"/>
      <c r="O367" s="228"/>
      <c r="P367" s="227"/>
    </row>
    <row r="368">
      <c r="E368" s="227"/>
      <c r="G368" s="227"/>
      <c r="J368" s="227"/>
      <c r="K368" s="227"/>
      <c r="L368" s="227"/>
      <c r="N368" s="227"/>
      <c r="O368" s="228"/>
      <c r="P368" s="227"/>
    </row>
    <row r="369">
      <c r="E369" s="227"/>
      <c r="G369" s="227"/>
      <c r="J369" s="227"/>
      <c r="K369" s="227"/>
      <c r="L369" s="227"/>
      <c r="N369" s="227"/>
      <c r="O369" s="228"/>
      <c r="P369" s="227"/>
    </row>
    <row r="370">
      <c r="E370" s="227"/>
      <c r="G370" s="227"/>
      <c r="J370" s="227"/>
      <c r="K370" s="227"/>
      <c r="L370" s="227"/>
      <c r="N370" s="227"/>
      <c r="O370" s="228"/>
      <c r="P370" s="227"/>
    </row>
    <row r="371">
      <c r="E371" s="227"/>
      <c r="G371" s="227"/>
      <c r="J371" s="227"/>
      <c r="K371" s="227"/>
      <c r="L371" s="227"/>
      <c r="N371" s="227"/>
      <c r="O371" s="228"/>
      <c r="P371" s="227"/>
    </row>
    <row r="372">
      <c r="E372" s="227"/>
      <c r="G372" s="227"/>
      <c r="J372" s="227"/>
      <c r="K372" s="227"/>
      <c r="L372" s="227"/>
      <c r="N372" s="227"/>
      <c r="O372" s="228"/>
      <c r="P372" s="227"/>
    </row>
    <row r="373">
      <c r="E373" s="227"/>
      <c r="G373" s="227"/>
      <c r="J373" s="227"/>
      <c r="K373" s="227"/>
      <c r="L373" s="227"/>
      <c r="N373" s="227"/>
      <c r="O373" s="228"/>
      <c r="P373" s="227"/>
    </row>
    <row r="374">
      <c r="E374" s="227"/>
      <c r="G374" s="227"/>
      <c r="J374" s="227"/>
      <c r="K374" s="227"/>
      <c r="L374" s="227"/>
      <c r="N374" s="227"/>
      <c r="O374" s="228"/>
      <c r="P374" s="227"/>
    </row>
    <row r="375">
      <c r="E375" s="227"/>
      <c r="G375" s="227"/>
      <c r="J375" s="227"/>
      <c r="K375" s="227"/>
      <c r="L375" s="227"/>
      <c r="N375" s="227"/>
      <c r="O375" s="228"/>
      <c r="P375" s="227"/>
    </row>
    <row r="376">
      <c r="E376" s="227"/>
      <c r="G376" s="227"/>
      <c r="J376" s="227"/>
      <c r="K376" s="227"/>
      <c r="L376" s="227"/>
      <c r="N376" s="227"/>
      <c r="O376" s="228"/>
      <c r="P376" s="227"/>
    </row>
    <row r="377">
      <c r="E377" s="227"/>
      <c r="G377" s="227"/>
      <c r="J377" s="227"/>
      <c r="K377" s="227"/>
      <c r="L377" s="227"/>
      <c r="N377" s="227"/>
      <c r="O377" s="228"/>
      <c r="P377" s="227"/>
    </row>
    <row r="378">
      <c r="E378" s="227"/>
      <c r="G378" s="227"/>
      <c r="J378" s="227"/>
      <c r="K378" s="227"/>
      <c r="L378" s="227"/>
      <c r="N378" s="227"/>
      <c r="O378" s="228"/>
      <c r="P378" s="227"/>
    </row>
    <row r="379">
      <c r="E379" s="227"/>
      <c r="G379" s="227"/>
      <c r="J379" s="227"/>
      <c r="K379" s="227"/>
      <c r="L379" s="227"/>
      <c r="N379" s="227"/>
      <c r="O379" s="228"/>
      <c r="P379" s="227"/>
    </row>
    <row r="380">
      <c r="E380" s="227"/>
      <c r="G380" s="227"/>
      <c r="J380" s="227"/>
      <c r="K380" s="227"/>
      <c r="L380" s="227"/>
      <c r="N380" s="227"/>
      <c r="O380" s="228"/>
      <c r="P380" s="227"/>
    </row>
    <row r="381">
      <c r="E381" s="227"/>
      <c r="G381" s="227"/>
      <c r="J381" s="227"/>
      <c r="K381" s="227"/>
      <c r="L381" s="227"/>
      <c r="N381" s="227"/>
      <c r="O381" s="228"/>
      <c r="P381" s="227"/>
    </row>
    <row r="382">
      <c r="E382" s="227"/>
      <c r="G382" s="227"/>
      <c r="J382" s="227"/>
      <c r="K382" s="227"/>
      <c r="L382" s="227"/>
      <c r="N382" s="227"/>
      <c r="O382" s="228"/>
      <c r="P382" s="227"/>
    </row>
    <row r="383">
      <c r="E383" s="227"/>
      <c r="G383" s="227"/>
      <c r="J383" s="227"/>
      <c r="K383" s="227"/>
      <c r="L383" s="227"/>
      <c r="N383" s="227"/>
      <c r="O383" s="228"/>
      <c r="P383" s="227"/>
    </row>
    <row r="384">
      <c r="E384" s="227"/>
      <c r="G384" s="227"/>
      <c r="J384" s="227"/>
      <c r="K384" s="227"/>
      <c r="L384" s="227"/>
      <c r="N384" s="227"/>
      <c r="O384" s="228"/>
      <c r="P384" s="227"/>
    </row>
    <row r="385">
      <c r="E385" s="227"/>
      <c r="G385" s="227"/>
      <c r="J385" s="227"/>
      <c r="K385" s="227"/>
      <c r="L385" s="227"/>
      <c r="N385" s="227"/>
      <c r="O385" s="228"/>
      <c r="P385" s="227"/>
    </row>
    <row r="386">
      <c r="E386" s="227"/>
      <c r="G386" s="227"/>
      <c r="J386" s="227"/>
      <c r="K386" s="227"/>
      <c r="L386" s="227"/>
      <c r="N386" s="227"/>
      <c r="O386" s="228"/>
      <c r="P386" s="227"/>
    </row>
    <row r="387">
      <c r="E387" s="227"/>
      <c r="G387" s="227"/>
      <c r="J387" s="227"/>
      <c r="K387" s="227"/>
      <c r="L387" s="227"/>
      <c r="N387" s="227"/>
      <c r="O387" s="228"/>
      <c r="P387" s="227"/>
    </row>
    <row r="388">
      <c r="E388" s="227"/>
      <c r="G388" s="227"/>
      <c r="J388" s="227"/>
      <c r="K388" s="227"/>
      <c r="L388" s="227"/>
      <c r="N388" s="227"/>
      <c r="O388" s="228"/>
      <c r="P388" s="227"/>
    </row>
    <row r="389">
      <c r="E389" s="227"/>
      <c r="G389" s="227"/>
      <c r="J389" s="227"/>
      <c r="K389" s="227"/>
      <c r="L389" s="227"/>
      <c r="N389" s="227"/>
      <c r="O389" s="228"/>
      <c r="P389" s="227"/>
    </row>
    <row r="390">
      <c r="E390" s="227"/>
      <c r="G390" s="227"/>
      <c r="J390" s="227"/>
      <c r="K390" s="227"/>
      <c r="L390" s="227"/>
      <c r="N390" s="227"/>
      <c r="O390" s="228"/>
      <c r="P390" s="227"/>
    </row>
    <row r="391">
      <c r="E391" s="227"/>
      <c r="G391" s="227"/>
      <c r="J391" s="227"/>
      <c r="K391" s="227"/>
      <c r="L391" s="227"/>
      <c r="N391" s="227"/>
      <c r="O391" s="228"/>
      <c r="P391" s="227"/>
    </row>
    <row r="392">
      <c r="E392" s="227"/>
      <c r="G392" s="227"/>
      <c r="J392" s="227"/>
      <c r="K392" s="227"/>
      <c r="L392" s="227"/>
      <c r="N392" s="227"/>
      <c r="O392" s="228"/>
      <c r="P392" s="227"/>
    </row>
    <row r="393">
      <c r="E393" s="227"/>
      <c r="G393" s="227"/>
      <c r="J393" s="227"/>
      <c r="K393" s="227"/>
      <c r="L393" s="227"/>
      <c r="N393" s="227"/>
      <c r="O393" s="228"/>
      <c r="P393" s="227"/>
    </row>
    <row r="394">
      <c r="E394" s="227"/>
      <c r="G394" s="227"/>
      <c r="J394" s="227"/>
      <c r="K394" s="227"/>
      <c r="L394" s="227"/>
      <c r="N394" s="227"/>
      <c r="O394" s="228"/>
      <c r="P394" s="227"/>
    </row>
    <row r="395">
      <c r="E395" s="227"/>
      <c r="G395" s="227"/>
      <c r="J395" s="227"/>
      <c r="K395" s="227"/>
      <c r="L395" s="227"/>
      <c r="N395" s="227"/>
      <c r="O395" s="228"/>
      <c r="P395" s="227"/>
    </row>
    <row r="396">
      <c r="E396" s="227"/>
      <c r="G396" s="227"/>
      <c r="J396" s="227"/>
      <c r="K396" s="227"/>
      <c r="L396" s="227"/>
      <c r="N396" s="227"/>
      <c r="O396" s="228"/>
      <c r="P396" s="227"/>
    </row>
    <row r="397">
      <c r="E397" s="227"/>
      <c r="G397" s="227"/>
      <c r="J397" s="227"/>
      <c r="K397" s="227"/>
      <c r="L397" s="227"/>
      <c r="N397" s="227"/>
      <c r="O397" s="228"/>
      <c r="P397" s="227"/>
    </row>
    <row r="398">
      <c r="E398" s="227"/>
      <c r="G398" s="227"/>
      <c r="J398" s="227"/>
      <c r="K398" s="227"/>
      <c r="L398" s="227"/>
      <c r="N398" s="227"/>
      <c r="O398" s="228"/>
      <c r="P398" s="227"/>
    </row>
    <row r="399">
      <c r="E399" s="227"/>
      <c r="G399" s="227"/>
      <c r="J399" s="227"/>
      <c r="K399" s="227"/>
      <c r="L399" s="227"/>
      <c r="N399" s="227"/>
      <c r="O399" s="228"/>
      <c r="P399" s="227"/>
    </row>
    <row r="400">
      <c r="E400" s="227"/>
      <c r="G400" s="227"/>
      <c r="J400" s="227"/>
      <c r="K400" s="227"/>
      <c r="L400" s="227"/>
      <c r="N400" s="227"/>
      <c r="O400" s="228"/>
      <c r="P400" s="227"/>
    </row>
    <row r="401">
      <c r="E401" s="227"/>
      <c r="G401" s="227"/>
      <c r="J401" s="227"/>
      <c r="K401" s="227"/>
      <c r="L401" s="227"/>
      <c r="N401" s="227"/>
      <c r="O401" s="228"/>
      <c r="P401" s="227"/>
    </row>
    <row r="402">
      <c r="E402" s="227"/>
      <c r="G402" s="227"/>
      <c r="J402" s="227"/>
      <c r="K402" s="227"/>
      <c r="L402" s="227"/>
      <c r="N402" s="227"/>
      <c r="O402" s="228"/>
      <c r="P402" s="227"/>
    </row>
    <row r="403">
      <c r="E403" s="227"/>
      <c r="G403" s="227"/>
      <c r="J403" s="227"/>
      <c r="K403" s="227"/>
      <c r="L403" s="227"/>
      <c r="N403" s="227"/>
      <c r="O403" s="228"/>
      <c r="P403" s="227"/>
    </row>
    <row r="404">
      <c r="E404" s="227"/>
      <c r="G404" s="227"/>
      <c r="J404" s="227"/>
      <c r="K404" s="227"/>
      <c r="L404" s="227"/>
      <c r="N404" s="227"/>
      <c r="O404" s="228"/>
      <c r="P404" s="227"/>
    </row>
    <row r="405">
      <c r="E405" s="227"/>
      <c r="G405" s="227"/>
      <c r="J405" s="227"/>
      <c r="K405" s="227"/>
      <c r="L405" s="227"/>
      <c r="N405" s="227"/>
      <c r="O405" s="228"/>
      <c r="P405" s="227"/>
    </row>
    <row r="406">
      <c r="E406" s="227"/>
      <c r="G406" s="227"/>
      <c r="J406" s="227"/>
      <c r="K406" s="227"/>
      <c r="L406" s="227"/>
      <c r="N406" s="227"/>
      <c r="O406" s="228"/>
      <c r="P406" s="227"/>
    </row>
    <row r="407">
      <c r="E407" s="227"/>
      <c r="G407" s="227"/>
      <c r="J407" s="227"/>
      <c r="K407" s="227"/>
      <c r="L407" s="227"/>
      <c r="N407" s="227"/>
      <c r="O407" s="228"/>
      <c r="P407" s="227"/>
    </row>
    <row r="408">
      <c r="E408" s="227"/>
      <c r="G408" s="227"/>
      <c r="J408" s="227"/>
      <c r="K408" s="227"/>
      <c r="L408" s="227"/>
      <c r="N408" s="227"/>
      <c r="O408" s="228"/>
      <c r="P408" s="227"/>
    </row>
    <row r="409">
      <c r="E409" s="227"/>
      <c r="G409" s="227"/>
      <c r="J409" s="227"/>
      <c r="K409" s="227"/>
      <c r="L409" s="227"/>
      <c r="N409" s="227"/>
      <c r="O409" s="228"/>
      <c r="P409" s="227"/>
    </row>
    <row r="410">
      <c r="E410" s="227"/>
      <c r="G410" s="227"/>
      <c r="J410" s="227"/>
      <c r="K410" s="227"/>
      <c r="L410" s="227"/>
      <c r="N410" s="227"/>
      <c r="O410" s="228"/>
      <c r="P410" s="227"/>
    </row>
    <row r="411">
      <c r="E411" s="227"/>
      <c r="G411" s="227"/>
      <c r="J411" s="227"/>
      <c r="K411" s="227"/>
      <c r="L411" s="227"/>
      <c r="N411" s="227"/>
      <c r="O411" s="228"/>
      <c r="P411" s="227"/>
    </row>
    <row r="412">
      <c r="E412" s="227"/>
      <c r="G412" s="227"/>
      <c r="J412" s="227"/>
      <c r="K412" s="227"/>
      <c r="L412" s="227"/>
      <c r="N412" s="227"/>
      <c r="O412" s="228"/>
      <c r="P412" s="227"/>
    </row>
    <row r="413">
      <c r="E413" s="227"/>
      <c r="G413" s="227"/>
      <c r="J413" s="227"/>
      <c r="K413" s="227"/>
      <c r="L413" s="227"/>
      <c r="N413" s="227"/>
      <c r="O413" s="228"/>
      <c r="P413" s="227"/>
    </row>
    <row r="414">
      <c r="E414" s="227"/>
      <c r="G414" s="227"/>
      <c r="J414" s="227"/>
      <c r="K414" s="227"/>
      <c r="L414" s="227"/>
      <c r="N414" s="227"/>
      <c r="O414" s="228"/>
      <c r="P414" s="227"/>
    </row>
    <row r="415">
      <c r="E415" s="227"/>
      <c r="G415" s="227"/>
      <c r="J415" s="227"/>
      <c r="K415" s="227"/>
      <c r="L415" s="227"/>
      <c r="N415" s="227"/>
      <c r="O415" s="228"/>
      <c r="P415" s="227"/>
    </row>
    <row r="416">
      <c r="E416" s="227"/>
      <c r="G416" s="227"/>
      <c r="J416" s="227"/>
      <c r="K416" s="227"/>
      <c r="L416" s="227"/>
      <c r="N416" s="227"/>
      <c r="O416" s="228"/>
      <c r="P416" s="227"/>
    </row>
    <row r="417">
      <c r="E417" s="227"/>
      <c r="G417" s="227"/>
      <c r="J417" s="227"/>
      <c r="K417" s="227"/>
      <c r="L417" s="227"/>
      <c r="N417" s="227"/>
      <c r="O417" s="228"/>
      <c r="P417" s="227"/>
    </row>
    <row r="418">
      <c r="E418" s="227"/>
      <c r="G418" s="227"/>
      <c r="J418" s="227"/>
      <c r="K418" s="227"/>
      <c r="L418" s="227"/>
      <c r="N418" s="227"/>
      <c r="O418" s="228"/>
      <c r="P418" s="227"/>
    </row>
    <row r="419">
      <c r="E419" s="227"/>
      <c r="G419" s="227"/>
      <c r="J419" s="227"/>
      <c r="K419" s="227"/>
      <c r="L419" s="227"/>
      <c r="N419" s="227"/>
      <c r="O419" s="228"/>
      <c r="P419" s="227"/>
    </row>
    <row r="420">
      <c r="E420" s="227"/>
      <c r="G420" s="227"/>
      <c r="J420" s="227"/>
      <c r="K420" s="227"/>
      <c r="L420" s="227"/>
      <c r="N420" s="227"/>
      <c r="O420" s="228"/>
      <c r="P420" s="227"/>
    </row>
    <row r="421">
      <c r="E421" s="227"/>
      <c r="G421" s="227"/>
      <c r="J421" s="227"/>
      <c r="K421" s="227"/>
      <c r="L421" s="227"/>
      <c r="N421" s="227"/>
      <c r="O421" s="228"/>
      <c r="P421" s="227"/>
    </row>
    <row r="422">
      <c r="E422" s="227"/>
      <c r="G422" s="227"/>
      <c r="J422" s="227"/>
      <c r="K422" s="227"/>
      <c r="L422" s="227"/>
      <c r="N422" s="227"/>
      <c r="O422" s="228"/>
      <c r="P422" s="227"/>
    </row>
    <row r="423">
      <c r="E423" s="227"/>
      <c r="G423" s="227"/>
      <c r="J423" s="227"/>
      <c r="K423" s="227"/>
      <c r="L423" s="227"/>
      <c r="N423" s="227"/>
      <c r="O423" s="228"/>
      <c r="P423" s="227"/>
    </row>
    <row r="424">
      <c r="E424" s="227"/>
      <c r="G424" s="227"/>
      <c r="J424" s="227"/>
      <c r="K424" s="227"/>
      <c r="L424" s="227"/>
      <c r="N424" s="227"/>
      <c r="O424" s="228"/>
      <c r="P424" s="227"/>
    </row>
    <row r="425">
      <c r="E425" s="227"/>
      <c r="G425" s="227"/>
      <c r="J425" s="227"/>
      <c r="K425" s="227"/>
      <c r="L425" s="227"/>
      <c r="N425" s="227"/>
      <c r="O425" s="228"/>
      <c r="P425" s="227"/>
    </row>
    <row r="426">
      <c r="E426" s="227"/>
      <c r="G426" s="227"/>
      <c r="J426" s="227"/>
      <c r="K426" s="227"/>
      <c r="L426" s="227"/>
      <c r="N426" s="227"/>
      <c r="O426" s="228"/>
      <c r="P426" s="227"/>
    </row>
    <row r="427">
      <c r="E427" s="227"/>
      <c r="G427" s="227"/>
      <c r="J427" s="227"/>
      <c r="K427" s="227"/>
      <c r="L427" s="227"/>
      <c r="N427" s="227"/>
      <c r="O427" s="228"/>
      <c r="P427" s="227"/>
    </row>
    <row r="428">
      <c r="E428" s="227"/>
      <c r="G428" s="227"/>
      <c r="J428" s="227"/>
      <c r="K428" s="227"/>
      <c r="L428" s="227"/>
      <c r="N428" s="227"/>
      <c r="O428" s="228"/>
      <c r="P428" s="227"/>
    </row>
    <row r="429">
      <c r="E429" s="227"/>
      <c r="G429" s="227"/>
      <c r="J429" s="227"/>
      <c r="K429" s="227"/>
      <c r="L429" s="227"/>
      <c r="N429" s="227"/>
      <c r="O429" s="228"/>
      <c r="P429" s="227"/>
    </row>
    <row r="430">
      <c r="E430" s="227"/>
      <c r="G430" s="227"/>
      <c r="J430" s="227"/>
      <c r="K430" s="227"/>
      <c r="L430" s="227"/>
      <c r="N430" s="227"/>
      <c r="O430" s="228"/>
      <c r="P430" s="227"/>
    </row>
    <row r="431">
      <c r="E431" s="227"/>
      <c r="G431" s="227"/>
      <c r="J431" s="227"/>
      <c r="K431" s="227"/>
      <c r="L431" s="227"/>
      <c r="N431" s="227"/>
      <c r="O431" s="228"/>
      <c r="P431" s="227"/>
    </row>
    <row r="432">
      <c r="E432" s="227"/>
      <c r="G432" s="227"/>
      <c r="J432" s="227"/>
      <c r="K432" s="227"/>
      <c r="L432" s="227"/>
      <c r="N432" s="227"/>
      <c r="O432" s="228"/>
      <c r="P432" s="227"/>
    </row>
    <row r="433">
      <c r="E433" s="227"/>
      <c r="G433" s="227"/>
      <c r="J433" s="227"/>
      <c r="K433" s="227"/>
      <c r="L433" s="227"/>
      <c r="N433" s="227"/>
      <c r="O433" s="228"/>
      <c r="P433" s="227"/>
    </row>
    <row r="434">
      <c r="E434" s="227"/>
      <c r="G434" s="227"/>
      <c r="J434" s="227"/>
      <c r="K434" s="227"/>
      <c r="L434" s="227"/>
      <c r="N434" s="227"/>
      <c r="O434" s="228"/>
      <c r="P434" s="227"/>
    </row>
    <row r="435">
      <c r="E435" s="227"/>
      <c r="G435" s="227"/>
      <c r="J435" s="227"/>
      <c r="K435" s="227"/>
      <c r="L435" s="227"/>
      <c r="N435" s="227"/>
      <c r="O435" s="228"/>
      <c r="P435" s="227"/>
    </row>
    <row r="436">
      <c r="E436" s="227"/>
      <c r="G436" s="227"/>
      <c r="J436" s="227"/>
      <c r="K436" s="227"/>
      <c r="L436" s="227"/>
      <c r="N436" s="227"/>
      <c r="O436" s="228"/>
      <c r="P436" s="227"/>
    </row>
    <row r="437">
      <c r="E437" s="227"/>
      <c r="G437" s="227"/>
      <c r="J437" s="227"/>
      <c r="K437" s="227"/>
      <c r="L437" s="227"/>
      <c r="N437" s="227"/>
      <c r="O437" s="228"/>
      <c r="P437" s="227"/>
    </row>
    <row r="438">
      <c r="E438" s="227"/>
      <c r="G438" s="227"/>
      <c r="J438" s="227"/>
      <c r="K438" s="227"/>
      <c r="L438" s="227"/>
      <c r="N438" s="227"/>
      <c r="O438" s="228"/>
      <c r="P438" s="227"/>
    </row>
    <row r="439">
      <c r="E439" s="227"/>
      <c r="G439" s="227"/>
      <c r="J439" s="227"/>
      <c r="K439" s="227"/>
      <c r="L439" s="227"/>
      <c r="N439" s="227"/>
      <c r="O439" s="228"/>
      <c r="P439" s="227"/>
    </row>
    <row r="440">
      <c r="E440" s="227"/>
      <c r="G440" s="227"/>
      <c r="J440" s="227"/>
      <c r="K440" s="227"/>
      <c r="L440" s="227"/>
      <c r="N440" s="227"/>
      <c r="O440" s="228"/>
      <c r="P440" s="227"/>
    </row>
    <row r="441">
      <c r="E441" s="227"/>
      <c r="G441" s="227"/>
      <c r="J441" s="227"/>
      <c r="K441" s="227"/>
      <c r="L441" s="227"/>
      <c r="N441" s="227"/>
      <c r="O441" s="228"/>
      <c r="P441" s="227"/>
    </row>
    <row r="442">
      <c r="E442" s="227"/>
      <c r="G442" s="227"/>
      <c r="J442" s="227"/>
      <c r="K442" s="227"/>
      <c r="L442" s="227"/>
      <c r="N442" s="227"/>
      <c r="O442" s="228"/>
      <c r="P442" s="227"/>
    </row>
    <row r="443">
      <c r="E443" s="227"/>
      <c r="G443" s="227"/>
      <c r="J443" s="227"/>
      <c r="K443" s="227"/>
      <c r="L443" s="227"/>
      <c r="N443" s="227"/>
      <c r="O443" s="228"/>
      <c r="P443" s="227"/>
    </row>
    <row r="444">
      <c r="E444" s="227"/>
      <c r="G444" s="227"/>
      <c r="J444" s="227"/>
      <c r="K444" s="227"/>
      <c r="L444" s="227"/>
      <c r="N444" s="227"/>
      <c r="O444" s="228"/>
      <c r="P444" s="227"/>
    </row>
    <row r="445">
      <c r="E445" s="227"/>
      <c r="G445" s="227"/>
      <c r="J445" s="227"/>
      <c r="K445" s="227"/>
      <c r="L445" s="227"/>
      <c r="N445" s="227"/>
      <c r="O445" s="228"/>
      <c r="P445" s="227"/>
    </row>
    <row r="446">
      <c r="E446" s="227"/>
      <c r="G446" s="227"/>
      <c r="J446" s="227"/>
      <c r="K446" s="227"/>
      <c r="L446" s="227"/>
      <c r="N446" s="227"/>
      <c r="O446" s="228"/>
      <c r="P446" s="227"/>
    </row>
    <row r="447">
      <c r="E447" s="227"/>
      <c r="G447" s="227"/>
      <c r="J447" s="227"/>
      <c r="K447" s="227"/>
      <c r="L447" s="227"/>
      <c r="N447" s="227"/>
      <c r="O447" s="228"/>
      <c r="P447" s="227"/>
    </row>
    <row r="448">
      <c r="E448" s="227"/>
      <c r="G448" s="227"/>
      <c r="J448" s="227"/>
      <c r="K448" s="227"/>
      <c r="L448" s="227"/>
      <c r="N448" s="227"/>
      <c r="O448" s="228"/>
      <c r="P448" s="227"/>
    </row>
    <row r="449">
      <c r="E449" s="227"/>
      <c r="G449" s="227"/>
      <c r="J449" s="227"/>
      <c r="K449" s="227"/>
      <c r="L449" s="227"/>
      <c r="N449" s="227"/>
      <c r="O449" s="228"/>
      <c r="P449" s="227"/>
    </row>
    <row r="450">
      <c r="E450" s="227"/>
      <c r="G450" s="227"/>
      <c r="J450" s="227"/>
      <c r="K450" s="227"/>
      <c r="L450" s="227"/>
      <c r="N450" s="227"/>
      <c r="O450" s="228"/>
      <c r="P450" s="227"/>
    </row>
    <row r="451">
      <c r="E451" s="227"/>
      <c r="G451" s="227"/>
      <c r="J451" s="227"/>
      <c r="K451" s="227"/>
      <c r="L451" s="227"/>
      <c r="N451" s="227"/>
      <c r="O451" s="228"/>
      <c r="P451" s="227"/>
    </row>
    <row r="452">
      <c r="E452" s="227"/>
      <c r="G452" s="227"/>
      <c r="J452" s="227"/>
      <c r="K452" s="227"/>
      <c r="L452" s="227"/>
      <c r="N452" s="227"/>
      <c r="O452" s="228"/>
      <c r="P452" s="227"/>
    </row>
    <row r="453">
      <c r="E453" s="227"/>
      <c r="G453" s="227"/>
      <c r="J453" s="227"/>
      <c r="K453" s="227"/>
      <c r="L453" s="227"/>
      <c r="N453" s="227"/>
      <c r="O453" s="228"/>
      <c r="P453" s="227"/>
    </row>
    <row r="454">
      <c r="E454" s="227"/>
      <c r="G454" s="227"/>
      <c r="J454" s="227"/>
      <c r="K454" s="227"/>
      <c r="L454" s="227"/>
      <c r="N454" s="227"/>
      <c r="O454" s="228"/>
      <c r="P454" s="227"/>
    </row>
    <row r="455">
      <c r="E455" s="227"/>
      <c r="G455" s="227"/>
      <c r="J455" s="227"/>
      <c r="K455" s="227"/>
      <c r="L455" s="227"/>
      <c r="N455" s="227"/>
      <c r="O455" s="228"/>
      <c r="P455" s="227"/>
    </row>
    <row r="456">
      <c r="E456" s="227"/>
      <c r="G456" s="227"/>
      <c r="J456" s="227"/>
      <c r="K456" s="227"/>
      <c r="L456" s="227"/>
      <c r="N456" s="227"/>
      <c r="O456" s="228"/>
      <c r="P456" s="227"/>
    </row>
    <row r="457">
      <c r="E457" s="227"/>
      <c r="G457" s="227"/>
      <c r="J457" s="227"/>
      <c r="K457" s="227"/>
      <c r="L457" s="227"/>
      <c r="N457" s="227"/>
      <c r="O457" s="228"/>
      <c r="P457" s="227"/>
    </row>
    <row r="458">
      <c r="E458" s="227"/>
      <c r="G458" s="227"/>
      <c r="J458" s="227"/>
      <c r="K458" s="227"/>
      <c r="L458" s="227"/>
      <c r="N458" s="227"/>
      <c r="O458" s="228"/>
      <c r="P458" s="227"/>
    </row>
    <row r="459">
      <c r="E459" s="227"/>
      <c r="G459" s="227"/>
      <c r="J459" s="227"/>
      <c r="K459" s="227"/>
      <c r="L459" s="227"/>
      <c r="N459" s="227"/>
      <c r="O459" s="228"/>
      <c r="P459" s="227"/>
    </row>
    <row r="460">
      <c r="E460" s="227"/>
      <c r="G460" s="227"/>
      <c r="J460" s="227"/>
      <c r="K460" s="227"/>
      <c r="L460" s="227"/>
      <c r="N460" s="227"/>
      <c r="O460" s="228"/>
      <c r="P460" s="227"/>
    </row>
    <row r="461">
      <c r="E461" s="227"/>
      <c r="G461" s="227"/>
      <c r="J461" s="227"/>
      <c r="K461" s="227"/>
      <c r="L461" s="227"/>
      <c r="N461" s="227"/>
      <c r="O461" s="228"/>
      <c r="P461" s="227"/>
    </row>
    <row r="462">
      <c r="E462" s="227"/>
      <c r="G462" s="227"/>
      <c r="J462" s="227"/>
      <c r="K462" s="227"/>
      <c r="L462" s="227"/>
      <c r="N462" s="227"/>
      <c r="O462" s="228"/>
      <c r="P462" s="227"/>
    </row>
    <row r="463">
      <c r="E463" s="227"/>
      <c r="G463" s="227"/>
      <c r="J463" s="227"/>
      <c r="K463" s="227"/>
      <c r="L463" s="227"/>
      <c r="N463" s="227"/>
      <c r="O463" s="228"/>
      <c r="P463" s="227"/>
    </row>
    <row r="464">
      <c r="E464" s="227"/>
      <c r="G464" s="227"/>
      <c r="J464" s="227"/>
      <c r="K464" s="227"/>
      <c r="L464" s="227"/>
      <c r="N464" s="227"/>
      <c r="O464" s="228"/>
      <c r="P464" s="227"/>
    </row>
    <row r="465">
      <c r="E465" s="227"/>
      <c r="G465" s="227"/>
      <c r="J465" s="227"/>
      <c r="K465" s="227"/>
      <c r="L465" s="227"/>
      <c r="N465" s="227"/>
      <c r="O465" s="228"/>
      <c r="P465" s="227"/>
    </row>
    <row r="466">
      <c r="E466" s="227"/>
      <c r="G466" s="227"/>
      <c r="J466" s="227"/>
      <c r="K466" s="227"/>
      <c r="L466" s="227"/>
      <c r="N466" s="227"/>
      <c r="O466" s="228"/>
      <c r="P466" s="227"/>
    </row>
    <row r="467">
      <c r="E467" s="227"/>
      <c r="G467" s="227"/>
      <c r="J467" s="227"/>
      <c r="K467" s="227"/>
      <c r="L467" s="227"/>
      <c r="N467" s="227"/>
      <c r="O467" s="228"/>
      <c r="P467" s="227"/>
    </row>
    <row r="468">
      <c r="E468" s="227"/>
      <c r="G468" s="227"/>
      <c r="J468" s="227"/>
      <c r="K468" s="227"/>
      <c r="L468" s="227"/>
      <c r="N468" s="227"/>
      <c r="O468" s="228"/>
      <c r="P468" s="227"/>
    </row>
    <row r="469">
      <c r="E469" s="227"/>
      <c r="G469" s="227"/>
      <c r="J469" s="227"/>
      <c r="K469" s="227"/>
      <c r="L469" s="227"/>
      <c r="N469" s="227"/>
      <c r="O469" s="228"/>
      <c r="P469" s="227"/>
    </row>
    <row r="470">
      <c r="E470" s="227"/>
      <c r="G470" s="227"/>
      <c r="J470" s="227"/>
      <c r="K470" s="227"/>
      <c r="L470" s="227"/>
      <c r="N470" s="227"/>
      <c r="O470" s="228"/>
      <c r="P470" s="227"/>
    </row>
    <row r="471">
      <c r="E471" s="227"/>
      <c r="G471" s="227"/>
      <c r="J471" s="227"/>
      <c r="K471" s="227"/>
      <c r="L471" s="227"/>
      <c r="N471" s="227"/>
      <c r="O471" s="228"/>
      <c r="P471" s="227"/>
    </row>
    <row r="472">
      <c r="E472" s="227"/>
      <c r="G472" s="227"/>
      <c r="J472" s="227"/>
      <c r="K472" s="227"/>
      <c r="L472" s="227"/>
      <c r="N472" s="227"/>
      <c r="O472" s="228"/>
      <c r="P472" s="227"/>
    </row>
    <row r="473">
      <c r="E473" s="227"/>
      <c r="G473" s="227"/>
      <c r="J473" s="227"/>
      <c r="K473" s="227"/>
      <c r="L473" s="227"/>
      <c r="N473" s="227"/>
      <c r="O473" s="228"/>
      <c r="P473" s="227"/>
    </row>
    <row r="474">
      <c r="E474" s="227"/>
      <c r="G474" s="227"/>
      <c r="J474" s="227"/>
      <c r="K474" s="227"/>
      <c r="L474" s="227"/>
      <c r="N474" s="227"/>
      <c r="O474" s="228"/>
      <c r="P474" s="227"/>
    </row>
    <row r="475">
      <c r="E475" s="227"/>
      <c r="G475" s="227"/>
      <c r="J475" s="227"/>
      <c r="K475" s="227"/>
      <c r="L475" s="227"/>
      <c r="N475" s="227"/>
      <c r="O475" s="228"/>
      <c r="P475" s="227"/>
    </row>
    <row r="476">
      <c r="E476" s="227"/>
      <c r="G476" s="227"/>
      <c r="J476" s="227"/>
      <c r="K476" s="227"/>
      <c r="L476" s="227"/>
      <c r="N476" s="227"/>
      <c r="O476" s="228"/>
      <c r="P476" s="227"/>
    </row>
    <row r="477">
      <c r="E477" s="227"/>
      <c r="G477" s="227"/>
      <c r="J477" s="227"/>
      <c r="K477" s="227"/>
      <c r="L477" s="227"/>
      <c r="N477" s="227"/>
      <c r="O477" s="228"/>
      <c r="P477" s="227"/>
    </row>
    <row r="478">
      <c r="E478" s="227"/>
      <c r="G478" s="227"/>
      <c r="J478" s="227"/>
      <c r="K478" s="227"/>
      <c r="L478" s="227"/>
      <c r="N478" s="227"/>
      <c r="O478" s="228"/>
      <c r="P478" s="227"/>
    </row>
    <row r="479">
      <c r="E479" s="227"/>
      <c r="G479" s="227"/>
      <c r="J479" s="227"/>
      <c r="K479" s="227"/>
      <c r="L479" s="227"/>
      <c r="N479" s="227"/>
      <c r="O479" s="228"/>
      <c r="P479" s="227"/>
    </row>
    <row r="480">
      <c r="E480" s="227"/>
      <c r="G480" s="227"/>
      <c r="J480" s="227"/>
      <c r="K480" s="227"/>
      <c r="L480" s="227"/>
      <c r="N480" s="227"/>
      <c r="O480" s="228"/>
      <c r="P480" s="227"/>
    </row>
    <row r="481">
      <c r="E481" s="227"/>
      <c r="G481" s="227"/>
      <c r="J481" s="227"/>
      <c r="K481" s="227"/>
      <c r="L481" s="227"/>
      <c r="N481" s="227"/>
      <c r="O481" s="228"/>
      <c r="P481" s="227"/>
    </row>
    <row r="482">
      <c r="E482" s="227"/>
      <c r="G482" s="227"/>
      <c r="J482" s="227"/>
      <c r="K482" s="227"/>
      <c r="L482" s="227"/>
      <c r="N482" s="227"/>
      <c r="O482" s="228"/>
      <c r="P482" s="227"/>
    </row>
    <row r="483">
      <c r="E483" s="227"/>
      <c r="G483" s="227"/>
      <c r="J483" s="227"/>
      <c r="K483" s="227"/>
      <c r="L483" s="227"/>
      <c r="N483" s="227"/>
      <c r="O483" s="228"/>
      <c r="P483" s="227"/>
    </row>
    <row r="484">
      <c r="E484" s="227"/>
      <c r="G484" s="227"/>
      <c r="J484" s="227"/>
      <c r="K484" s="227"/>
      <c r="L484" s="227"/>
      <c r="N484" s="227"/>
      <c r="O484" s="228"/>
      <c r="P484" s="227"/>
    </row>
    <row r="485">
      <c r="E485" s="227"/>
      <c r="G485" s="227"/>
      <c r="J485" s="227"/>
      <c r="K485" s="227"/>
      <c r="L485" s="227"/>
      <c r="N485" s="227"/>
      <c r="O485" s="228"/>
      <c r="P485" s="227"/>
    </row>
    <row r="486">
      <c r="E486" s="227"/>
      <c r="G486" s="227"/>
      <c r="J486" s="227"/>
      <c r="K486" s="227"/>
      <c r="L486" s="227"/>
      <c r="N486" s="227"/>
      <c r="O486" s="228"/>
      <c r="P486" s="227"/>
    </row>
    <row r="487">
      <c r="E487" s="227"/>
      <c r="G487" s="227"/>
      <c r="J487" s="227"/>
      <c r="K487" s="227"/>
      <c r="L487" s="227"/>
      <c r="N487" s="227"/>
      <c r="O487" s="228"/>
      <c r="P487" s="227"/>
    </row>
    <row r="488">
      <c r="E488" s="227"/>
      <c r="G488" s="227"/>
      <c r="J488" s="227"/>
      <c r="K488" s="227"/>
      <c r="L488" s="227"/>
      <c r="N488" s="227"/>
      <c r="O488" s="228"/>
      <c r="P488" s="227"/>
    </row>
    <row r="489">
      <c r="E489" s="227"/>
      <c r="G489" s="227"/>
      <c r="J489" s="227"/>
      <c r="K489" s="227"/>
      <c r="L489" s="227"/>
      <c r="N489" s="227"/>
      <c r="O489" s="228"/>
      <c r="P489" s="227"/>
    </row>
    <row r="490">
      <c r="E490" s="227"/>
      <c r="G490" s="227"/>
      <c r="J490" s="227"/>
      <c r="K490" s="227"/>
      <c r="L490" s="227"/>
      <c r="N490" s="227"/>
      <c r="O490" s="228"/>
      <c r="P490" s="227"/>
    </row>
    <row r="491">
      <c r="E491" s="227"/>
      <c r="G491" s="227"/>
      <c r="J491" s="227"/>
      <c r="K491" s="227"/>
      <c r="L491" s="227"/>
      <c r="N491" s="227"/>
      <c r="O491" s="228"/>
      <c r="P491" s="227"/>
    </row>
    <row r="492">
      <c r="E492" s="227"/>
      <c r="G492" s="227"/>
      <c r="J492" s="227"/>
      <c r="K492" s="227"/>
      <c r="L492" s="227"/>
      <c r="N492" s="227"/>
      <c r="O492" s="228"/>
      <c r="P492" s="227"/>
    </row>
    <row r="493">
      <c r="E493" s="227"/>
      <c r="G493" s="227"/>
      <c r="J493" s="227"/>
      <c r="K493" s="227"/>
      <c r="L493" s="227"/>
      <c r="N493" s="227"/>
      <c r="O493" s="228"/>
      <c r="P493" s="227"/>
    </row>
    <row r="494">
      <c r="E494" s="227"/>
      <c r="G494" s="227"/>
      <c r="J494" s="227"/>
      <c r="K494" s="227"/>
      <c r="L494" s="227"/>
      <c r="N494" s="227"/>
      <c r="O494" s="228"/>
      <c r="P494" s="227"/>
    </row>
    <row r="495">
      <c r="E495" s="227"/>
      <c r="G495" s="227"/>
      <c r="J495" s="227"/>
      <c r="K495" s="227"/>
      <c r="L495" s="227"/>
      <c r="N495" s="227"/>
      <c r="O495" s="228"/>
      <c r="P495" s="227"/>
    </row>
    <row r="496">
      <c r="E496" s="227"/>
      <c r="G496" s="227"/>
      <c r="J496" s="227"/>
      <c r="K496" s="227"/>
      <c r="L496" s="227"/>
      <c r="N496" s="227"/>
      <c r="O496" s="228"/>
      <c r="P496" s="227"/>
    </row>
    <row r="497">
      <c r="E497" s="227"/>
      <c r="G497" s="227"/>
      <c r="J497" s="227"/>
      <c r="K497" s="227"/>
      <c r="L497" s="227"/>
      <c r="N497" s="227"/>
      <c r="O497" s="228"/>
      <c r="P497" s="227"/>
    </row>
    <row r="498">
      <c r="E498" s="227"/>
      <c r="G498" s="227"/>
      <c r="J498" s="227"/>
      <c r="K498" s="227"/>
      <c r="L498" s="227"/>
      <c r="N498" s="227"/>
      <c r="O498" s="228"/>
      <c r="P498" s="227"/>
    </row>
    <row r="499">
      <c r="E499" s="227"/>
      <c r="G499" s="227"/>
      <c r="J499" s="227"/>
      <c r="K499" s="227"/>
      <c r="L499" s="227"/>
      <c r="N499" s="227"/>
      <c r="O499" s="228"/>
      <c r="P499" s="227"/>
    </row>
    <row r="500">
      <c r="E500" s="227"/>
      <c r="G500" s="227"/>
      <c r="J500" s="227"/>
      <c r="K500" s="227"/>
      <c r="L500" s="227"/>
      <c r="N500" s="227"/>
      <c r="O500" s="228"/>
      <c r="P500" s="227"/>
    </row>
    <row r="501">
      <c r="E501" s="227"/>
      <c r="G501" s="227"/>
      <c r="J501" s="227"/>
      <c r="K501" s="227"/>
      <c r="L501" s="227"/>
      <c r="N501" s="227"/>
      <c r="O501" s="228"/>
      <c r="P501" s="227"/>
    </row>
    <row r="502">
      <c r="E502" s="227"/>
      <c r="G502" s="227"/>
      <c r="J502" s="227"/>
      <c r="K502" s="227"/>
      <c r="L502" s="227"/>
      <c r="N502" s="227"/>
      <c r="O502" s="228"/>
      <c r="P502" s="227"/>
    </row>
    <row r="503">
      <c r="E503" s="227"/>
      <c r="G503" s="227"/>
      <c r="J503" s="227"/>
      <c r="K503" s="227"/>
      <c r="L503" s="227"/>
      <c r="N503" s="227"/>
      <c r="O503" s="228"/>
      <c r="P503" s="227"/>
    </row>
    <row r="504">
      <c r="E504" s="227"/>
      <c r="G504" s="227"/>
      <c r="J504" s="227"/>
      <c r="K504" s="227"/>
      <c r="L504" s="227"/>
      <c r="N504" s="227"/>
      <c r="O504" s="228"/>
      <c r="P504" s="227"/>
    </row>
    <row r="505">
      <c r="E505" s="227"/>
      <c r="G505" s="227"/>
      <c r="J505" s="227"/>
      <c r="K505" s="227"/>
      <c r="L505" s="227"/>
      <c r="N505" s="227"/>
      <c r="O505" s="228"/>
      <c r="P505" s="227"/>
    </row>
    <row r="506">
      <c r="E506" s="227"/>
      <c r="G506" s="227"/>
      <c r="J506" s="227"/>
      <c r="K506" s="227"/>
      <c r="L506" s="227"/>
      <c r="N506" s="227"/>
      <c r="O506" s="228"/>
      <c r="P506" s="227"/>
    </row>
    <row r="507">
      <c r="E507" s="227"/>
      <c r="G507" s="227"/>
      <c r="J507" s="227"/>
      <c r="K507" s="227"/>
      <c r="L507" s="227"/>
      <c r="N507" s="227"/>
      <c r="O507" s="228"/>
      <c r="P507" s="227"/>
    </row>
    <row r="508">
      <c r="E508" s="227"/>
      <c r="G508" s="227"/>
      <c r="J508" s="227"/>
      <c r="K508" s="227"/>
      <c r="L508" s="227"/>
      <c r="N508" s="227"/>
      <c r="O508" s="228"/>
      <c r="P508" s="227"/>
    </row>
    <row r="509">
      <c r="E509" s="227"/>
      <c r="G509" s="227"/>
      <c r="J509" s="227"/>
      <c r="K509" s="227"/>
      <c r="L509" s="227"/>
      <c r="N509" s="227"/>
      <c r="O509" s="228"/>
      <c r="P509" s="227"/>
    </row>
    <row r="510">
      <c r="E510" s="227"/>
      <c r="G510" s="227"/>
      <c r="J510" s="227"/>
      <c r="K510" s="227"/>
      <c r="L510" s="227"/>
      <c r="N510" s="227"/>
      <c r="O510" s="228"/>
      <c r="P510" s="227"/>
    </row>
    <row r="511">
      <c r="E511" s="227"/>
      <c r="G511" s="227"/>
      <c r="J511" s="227"/>
      <c r="K511" s="227"/>
      <c r="L511" s="227"/>
      <c r="N511" s="227"/>
      <c r="O511" s="228"/>
      <c r="P511" s="227"/>
    </row>
    <row r="512">
      <c r="E512" s="227"/>
      <c r="G512" s="227"/>
      <c r="J512" s="227"/>
      <c r="K512" s="227"/>
      <c r="L512" s="227"/>
      <c r="N512" s="227"/>
      <c r="O512" s="228"/>
      <c r="P512" s="227"/>
    </row>
    <row r="513">
      <c r="E513" s="227"/>
      <c r="G513" s="227"/>
      <c r="J513" s="227"/>
      <c r="K513" s="227"/>
      <c r="L513" s="227"/>
      <c r="N513" s="227"/>
      <c r="O513" s="228"/>
      <c r="P513" s="227"/>
    </row>
    <row r="514">
      <c r="E514" s="227"/>
      <c r="G514" s="227"/>
      <c r="J514" s="227"/>
      <c r="K514" s="227"/>
      <c r="L514" s="227"/>
      <c r="N514" s="227"/>
      <c r="O514" s="228"/>
      <c r="P514" s="227"/>
    </row>
    <row r="515">
      <c r="E515" s="227"/>
      <c r="G515" s="227"/>
      <c r="J515" s="227"/>
      <c r="K515" s="227"/>
      <c r="L515" s="227"/>
      <c r="N515" s="227"/>
      <c r="O515" s="228"/>
      <c r="P515" s="227"/>
    </row>
    <row r="516">
      <c r="E516" s="227"/>
      <c r="G516" s="227"/>
      <c r="J516" s="227"/>
      <c r="K516" s="227"/>
      <c r="L516" s="227"/>
      <c r="N516" s="227"/>
      <c r="O516" s="228"/>
      <c r="P516" s="227"/>
    </row>
    <row r="517">
      <c r="E517" s="227"/>
      <c r="G517" s="227"/>
      <c r="J517" s="227"/>
      <c r="K517" s="227"/>
      <c r="L517" s="227"/>
      <c r="N517" s="227"/>
      <c r="O517" s="228"/>
      <c r="P517" s="227"/>
    </row>
    <row r="518">
      <c r="E518" s="227"/>
      <c r="G518" s="227"/>
      <c r="J518" s="227"/>
      <c r="K518" s="227"/>
      <c r="L518" s="227"/>
      <c r="N518" s="227"/>
      <c r="O518" s="228"/>
      <c r="P518" s="227"/>
    </row>
    <row r="519">
      <c r="E519" s="227"/>
      <c r="G519" s="227"/>
      <c r="J519" s="227"/>
      <c r="K519" s="227"/>
      <c r="L519" s="227"/>
      <c r="N519" s="227"/>
      <c r="O519" s="228"/>
      <c r="P519" s="227"/>
    </row>
    <row r="520">
      <c r="E520" s="227"/>
      <c r="G520" s="227"/>
      <c r="J520" s="227"/>
      <c r="K520" s="227"/>
      <c r="L520" s="227"/>
      <c r="N520" s="227"/>
      <c r="O520" s="228"/>
      <c r="P520" s="227"/>
    </row>
    <row r="521">
      <c r="E521" s="227"/>
      <c r="G521" s="227"/>
      <c r="J521" s="227"/>
      <c r="K521" s="227"/>
      <c r="L521" s="227"/>
      <c r="N521" s="227"/>
      <c r="O521" s="228"/>
      <c r="P521" s="227"/>
    </row>
    <row r="522">
      <c r="E522" s="227"/>
      <c r="G522" s="227"/>
      <c r="J522" s="227"/>
      <c r="K522" s="227"/>
      <c r="L522" s="227"/>
      <c r="N522" s="227"/>
      <c r="O522" s="228"/>
      <c r="P522" s="227"/>
    </row>
    <row r="523">
      <c r="E523" s="227"/>
      <c r="G523" s="227"/>
      <c r="J523" s="227"/>
      <c r="K523" s="227"/>
      <c r="L523" s="227"/>
      <c r="N523" s="227"/>
      <c r="O523" s="228"/>
      <c r="P523" s="227"/>
    </row>
    <row r="524">
      <c r="E524" s="227"/>
      <c r="G524" s="227"/>
      <c r="J524" s="227"/>
      <c r="K524" s="227"/>
      <c r="L524" s="227"/>
      <c r="N524" s="227"/>
      <c r="O524" s="228"/>
      <c r="P524" s="227"/>
    </row>
    <row r="525">
      <c r="E525" s="227"/>
      <c r="G525" s="227"/>
      <c r="J525" s="227"/>
      <c r="K525" s="227"/>
      <c r="L525" s="227"/>
      <c r="N525" s="227"/>
      <c r="O525" s="228"/>
      <c r="P525" s="227"/>
    </row>
    <row r="526">
      <c r="E526" s="227"/>
      <c r="G526" s="227"/>
      <c r="J526" s="227"/>
      <c r="K526" s="227"/>
      <c r="L526" s="227"/>
      <c r="N526" s="227"/>
      <c r="O526" s="228"/>
      <c r="P526" s="227"/>
    </row>
    <row r="527">
      <c r="E527" s="227"/>
      <c r="G527" s="227"/>
      <c r="J527" s="227"/>
      <c r="K527" s="227"/>
      <c r="L527" s="227"/>
      <c r="N527" s="227"/>
      <c r="O527" s="228"/>
      <c r="P527" s="227"/>
    </row>
    <row r="528">
      <c r="E528" s="227"/>
      <c r="G528" s="227"/>
      <c r="J528" s="227"/>
      <c r="K528" s="227"/>
      <c r="L528" s="227"/>
      <c r="N528" s="227"/>
      <c r="O528" s="228"/>
      <c r="P528" s="227"/>
    </row>
    <row r="529">
      <c r="E529" s="227"/>
      <c r="G529" s="227"/>
      <c r="J529" s="227"/>
      <c r="K529" s="227"/>
      <c r="L529" s="227"/>
      <c r="N529" s="227"/>
      <c r="O529" s="228"/>
      <c r="P529" s="227"/>
    </row>
    <row r="530">
      <c r="E530" s="227"/>
      <c r="G530" s="227"/>
      <c r="J530" s="227"/>
      <c r="K530" s="227"/>
      <c r="L530" s="227"/>
      <c r="N530" s="227"/>
      <c r="O530" s="228"/>
      <c r="P530" s="227"/>
    </row>
    <row r="531">
      <c r="E531" s="227"/>
      <c r="G531" s="227"/>
      <c r="J531" s="227"/>
      <c r="K531" s="227"/>
      <c r="L531" s="227"/>
      <c r="N531" s="227"/>
      <c r="O531" s="228"/>
      <c r="P531" s="227"/>
    </row>
    <row r="532">
      <c r="E532" s="227"/>
      <c r="G532" s="227"/>
      <c r="J532" s="227"/>
      <c r="K532" s="227"/>
      <c r="L532" s="227"/>
      <c r="N532" s="227"/>
      <c r="O532" s="228"/>
      <c r="P532" s="227"/>
    </row>
    <row r="533">
      <c r="E533" s="227"/>
      <c r="G533" s="227"/>
      <c r="J533" s="227"/>
      <c r="K533" s="227"/>
      <c r="L533" s="227"/>
      <c r="N533" s="227"/>
      <c r="O533" s="228"/>
      <c r="P533" s="227"/>
    </row>
    <row r="534">
      <c r="E534" s="227"/>
      <c r="G534" s="227"/>
      <c r="J534" s="227"/>
      <c r="K534" s="227"/>
      <c r="L534" s="227"/>
      <c r="N534" s="227"/>
      <c r="O534" s="228"/>
      <c r="P534" s="227"/>
    </row>
    <row r="535">
      <c r="E535" s="227"/>
      <c r="G535" s="227"/>
      <c r="J535" s="227"/>
      <c r="K535" s="227"/>
      <c r="L535" s="227"/>
      <c r="N535" s="227"/>
      <c r="O535" s="228"/>
      <c r="P535" s="227"/>
    </row>
    <row r="536">
      <c r="E536" s="227"/>
      <c r="G536" s="227"/>
      <c r="J536" s="227"/>
      <c r="K536" s="227"/>
      <c r="L536" s="227"/>
      <c r="N536" s="227"/>
      <c r="O536" s="228"/>
      <c r="P536" s="227"/>
    </row>
    <row r="537">
      <c r="E537" s="227"/>
      <c r="G537" s="227"/>
      <c r="J537" s="227"/>
      <c r="K537" s="227"/>
      <c r="L537" s="227"/>
      <c r="N537" s="227"/>
      <c r="O537" s="228"/>
      <c r="P537" s="227"/>
    </row>
    <row r="538">
      <c r="E538" s="227"/>
      <c r="G538" s="227"/>
      <c r="J538" s="227"/>
      <c r="K538" s="227"/>
      <c r="L538" s="227"/>
      <c r="N538" s="227"/>
      <c r="O538" s="228"/>
      <c r="P538" s="227"/>
    </row>
    <row r="539">
      <c r="E539" s="227"/>
      <c r="G539" s="227"/>
      <c r="J539" s="227"/>
      <c r="K539" s="227"/>
      <c r="L539" s="227"/>
      <c r="N539" s="227"/>
      <c r="O539" s="228"/>
      <c r="P539" s="227"/>
    </row>
    <row r="540">
      <c r="E540" s="227"/>
      <c r="G540" s="227"/>
      <c r="J540" s="227"/>
      <c r="K540" s="227"/>
      <c r="L540" s="227"/>
      <c r="N540" s="227"/>
      <c r="O540" s="228"/>
      <c r="P540" s="227"/>
    </row>
    <row r="541">
      <c r="E541" s="227"/>
      <c r="G541" s="227"/>
      <c r="J541" s="227"/>
      <c r="K541" s="227"/>
      <c r="L541" s="227"/>
      <c r="N541" s="227"/>
      <c r="O541" s="228"/>
      <c r="P541" s="227"/>
    </row>
    <row r="542">
      <c r="E542" s="227"/>
      <c r="G542" s="227"/>
      <c r="J542" s="227"/>
      <c r="K542" s="227"/>
      <c r="L542" s="227"/>
      <c r="N542" s="227"/>
      <c r="O542" s="228"/>
      <c r="P542" s="227"/>
    </row>
    <row r="543">
      <c r="E543" s="227"/>
      <c r="G543" s="227"/>
      <c r="J543" s="227"/>
      <c r="K543" s="227"/>
      <c r="L543" s="227"/>
      <c r="N543" s="227"/>
      <c r="O543" s="228"/>
      <c r="P543" s="227"/>
    </row>
    <row r="544">
      <c r="E544" s="227"/>
      <c r="G544" s="227"/>
      <c r="J544" s="227"/>
      <c r="K544" s="227"/>
      <c r="L544" s="227"/>
      <c r="N544" s="227"/>
      <c r="O544" s="228"/>
      <c r="P544" s="227"/>
    </row>
    <row r="545">
      <c r="E545" s="227"/>
      <c r="G545" s="227"/>
      <c r="J545" s="227"/>
      <c r="K545" s="227"/>
      <c r="L545" s="227"/>
      <c r="N545" s="227"/>
      <c r="O545" s="228"/>
      <c r="P545" s="227"/>
    </row>
    <row r="546">
      <c r="E546" s="227"/>
      <c r="G546" s="227"/>
      <c r="J546" s="227"/>
      <c r="K546" s="227"/>
      <c r="L546" s="227"/>
      <c r="N546" s="227"/>
      <c r="O546" s="228"/>
      <c r="P546" s="227"/>
    </row>
    <row r="547">
      <c r="E547" s="227"/>
      <c r="G547" s="227"/>
      <c r="J547" s="227"/>
      <c r="K547" s="227"/>
      <c r="L547" s="227"/>
      <c r="N547" s="227"/>
      <c r="O547" s="228"/>
      <c r="P547" s="227"/>
    </row>
    <row r="548">
      <c r="E548" s="227"/>
      <c r="G548" s="227"/>
      <c r="J548" s="227"/>
      <c r="K548" s="227"/>
      <c r="L548" s="227"/>
      <c r="N548" s="227"/>
      <c r="O548" s="228"/>
      <c r="P548" s="227"/>
    </row>
    <row r="549">
      <c r="E549" s="227"/>
      <c r="G549" s="227"/>
      <c r="J549" s="227"/>
      <c r="K549" s="227"/>
      <c r="L549" s="227"/>
      <c r="N549" s="227"/>
      <c r="O549" s="228"/>
      <c r="P549" s="227"/>
    </row>
    <row r="550">
      <c r="E550" s="227"/>
      <c r="G550" s="227"/>
      <c r="J550" s="227"/>
      <c r="K550" s="227"/>
      <c r="L550" s="227"/>
      <c r="N550" s="227"/>
      <c r="O550" s="228"/>
      <c r="P550" s="227"/>
    </row>
    <row r="551">
      <c r="E551" s="227"/>
      <c r="G551" s="227"/>
      <c r="J551" s="227"/>
      <c r="K551" s="227"/>
      <c r="L551" s="227"/>
      <c r="N551" s="227"/>
      <c r="O551" s="228"/>
      <c r="P551" s="227"/>
    </row>
    <row r="552">
      <c r="E552" s="227"/>
      <c r="G552" s="227"/>
      <c r="J552" s="227"/>
      <c r="K552" s="227"/>
      <c r="L552" s="227"/>
      <c r="N552" s="227"/>
      <c r="O552" s="228"/>
      <c r="P552" s="227"/>
    </row>
    <row r="553">
      <c r="E553" s="227"/>
      <c r="G553" s="227"/>
      <c r="J553" s="227"/>
      <c r="K553" s="227"/>
      <c r="L553" s="227"/>
      <c r="N553" s="227"/>
      <c r="O553" s="228"/>
      <c r="P553" s="227"/>
    </row>
    <row r="554">
      <c r="E554" s="227"/>
      <c r="G554" s="227"/>
      <c r="J554" s="227"/>
      <c r="K554" s="227"/>
      <c r="L554" s="227"/>
      <c r="N554" s="227"/>
      <c r="O554" s="228"/>
      <c r="P554" s="227"/>
    </row>
    <row r="555">
      <c r="E555" s="227"/>
      <c r="G555" s="227"/>
      <c r="J555" s="227"/>
      <c r="K555" s="227"/>
      <c r="L555" s="227"/>
      <c r="N555" s="227"/>
      <c r="O555" s="228"/>
      <c r="P555" s="227"/>
    </row>
    <row r="556">
      <c r="E556" s="227"/>
      <c r="G556" s="227"/>
      <c r="J556" s="227"/>
      <c r="K556" s="227"/>
      <c r="L556" s="227"/>
      <c r="N556" s="227"/>
      <c r="O556" s="228"/>
      <c r="P556" s="227"/>
    </row>
    <row r="557">
      <c r="E557" s="227"/>
      <c r="G557" s="227"/>
      <c r="J557" s="227"/>
      <c r="K557" s="227"/>
      <c r="L557" s="227"/>
      <c r="N557" s="227"/>
      <c r="O557" s="228"/>
      <c r="P557" s="227"/>
    </row>
    <row r="558">
      <c r="E558" s="227"/>
      <c r="G558" s="227"/>
      <c r="J558" s="227"/>
      <c r="K558" s="227"/>
      <c r="L558" s="227"/>
      <c r="N558" s="227"/>
      <c r="O558" s="228"/>
      <c r="P558" s="227"/>
    </row>
    <row r="559">
      <c r="E559" s="227"/>
      <c r="G559" s="227"/>
      <c r="J559" s="227"/>
      <c r="K559" s="227"/>
      <c r="L559" s="227"/>
      <c r="N559" s="227"/>
      <c r="O559" s="228"/>
      <c r="P559" s="227"/>
    </row>
    <row r="560">
      <c r="E560" s="227"/>
      <c r="G560" s="227"/>
      <c r="J560" s="227"/>
      <c r="K560" s="227"/>
      <c r="L560" s="227"/>
      <c r="N560" s="227"/>
      <c r="O560" s="228"/>
      <c r="P560" s="227"/>
    </row>
    <row r="561">
      <c r="E561" s="227"/>
      <c r="G561" s="227"/>
      <c r="J561" s="227"/>
      <c r="K561" s="227"/>
      <c r="L561" s="227"/>
      <c r="N561" s="227"/>
      <c r="O561" s="228"/>
      <c r="P561" s="227"/>
    </row>
    <row r="562">
      <c r="E562" s="227"/>
      <c r="G562" s="227"/>
      <c r="J562" s="227"/>
      <c r="K562" s="227"/>
      <c r="L562" s="227"/>
      <c r="N562" s="227"/>
      <c r="O562" s="228"/>
      <c r="P562" s="227"/>
    </row>
    <row r="563">
      <c r="E563" s="227"/>
      <c r="G563" s="227"/>
      <c r="J563" s="227"/>
      <c r="K563" s="227"/>
      <c r="L563" s="227"/>
      <c r="N563" s="227"/>
      <c r="O563" s="228"/>
      <c r="P563" s="227"/>
    </row>
    <row r="564">
      <c r="E564" s="227"/>
      <c r="G564" s="227"/>
      <c r="J564" s="227"/>
      <c r="K564" s="227"/>
      <c r="L564" s="227"/>
      <c r="N564" s="227"/>
      <c r="O564" s="228"/>
      <c r="P564" s="227"/>
    </row>
    <row r="565">
      <c r="E565" s="227"/>
      <c r="G565" s="227"/>
      <c r="J565" s="227"/>
      <c r="K565" s="227"/>
      <c r="L565" s="227"/>
      <c r="N565" s="227"/>
      <c r="O565" s="228"/>
      <c r="P565" s="227"/>
    </row>
    <row r="566">
      <c r="E566" s="227"/>
      <c r="G566" s="227"/>
      <c r="J566" s="227"/>
      <c r="K566" s="227"/>
      <c r="L566" s="227"/>
      <c r="N566" s="227"/>
      <c r="O566" s="228"/>
      <c r="P566" s="227"/>
    </row>
    <row r="567">
      <c r="E567" s="227"/>
      <c r="G567" s="227"/>
      <c r="J567" s="227"/>
      <c r="K567" s="227"/>
      <c r="L567" s="227"/>
      <c r="N567" s="227"/>
      <c r="O567" s="228"/>
      <c r="P567" s="227"/>
    </row>
    <row r="568">
      <c r="E568" s="227"/>
      <c r="G568" s="227"/>
      <c r="J568" s="227"/>
      <c r="K568" s="227"/>
      <c r="L568" s="227"/>
      <c r="N568" s="227"/>
      <c r="O568" s="228"/>
      <c r="P568" s="227"/>
    </row>
    <row r="569">
      <c r="E569" s="227"/>
      <c r="G569" s="227"/>
      <c r="J569" s="227"/>
      <c r="K569" s="227"/>
      <c r="L569" s="227"/>
      <c r="N569" s="227"/>
      <c r="O569" s="228"/>
      <c r="P569" s="227"/>
    </row>
    <row r="570">
      <c r="E570" s="227"/>
      <c r="G570" s="227"/>
      <c r="J570" s="227"/>
      <c r="K570" s="227"/>
      <c r="L570" s="227"/>
      <c r="N570" s="227"/>
      <c r="O570" s="228"/>
      <c r="P570" s="227"/>
    </row>
    <row r="571">
      <c r="E571" s="227"/>
      <c r="G571" s="227"/>
      <c r="J571" s="227"/>
      <c r="K571" s="227"/>
      <c r="L571" s="227"/>
      <c r="N571" s="227"/>
      <c r="O571" s="228"/>
      <c r="P571" s="227"/>
    </row>
    <row r="572">
      <c r="E572" s="227"/>
      <c r="G572" s="227"/>
      <c r="J572" s="227"/>
      <c r="K572" s="227"/>
      <c r="L572" s="227"/>
      <c r="N572" s="227"/>
      <c r="O572" s="228"/>
      <c r="P572" s="227"/>
    </row>
    <row r="573">
      <c r="E573" s="227"/>
      <c r="G573" s="227"/>
      <c r="J573" s="227"/>
      <c r="K573" s="227"/>
      <c r="L573" s="227"/>
      <c r="N573" s="227"/>
      <c r="O573" s="228"/>
      <c r="P573" s="227"/>
    </row>
    <row r="574">
      <c r="E574" s="227"/>
      <c r="G574" s="227"/>
      <c r="J574" s="227"/>
      <c r="K574" s="227"/>
      <c r="L574" s="227"/>
      <c r="N574" s="227"/>
      <c r="O574" s="228"/>
      <c r="P574" s="227"/>
    </row>
    <row r="575">
      <c r="E575" s="227"/>
      <c r="G575" s="227"/>
      <c r="J575" s="227"/>
      <c r="K575" s="227"/>
      <c r="L575" s="227"/>
      <c r="N575" s="227"/>
      <c r="O575" s="228"/>
      <c r="P575" s="227"/>
    </row>
    <row r="576">
      <c r="E576" s="227"/>
      <c r="G576" s="227"/>
      <c r="J576" s="227"/>
      <c r="K576" s="227"/>
      <c r="L576" s="227"/>
      <c r="N576" s="227"/>
      <c r="O576" s="228"/>
      <c r="P576" s="227"/>
    </row>
    <row r="577">
      <c r="E577" s="227"/>
      <c r="G577" s="227"/>
      <c r="J577" s="227"/>
      <c r="K577" s="227"/>
      <c r="L577" s="227"/>
      <c r="N577" s="227"/>
      <c r="O577" s="228"/>
      <c r="P577" s="227"/>
    </row>
    <row r="578">
      <c r="E578" s="227"/>
      <c r="G578" s="227"/>
      <c r="J578" s="227"/>
      <c r="K578" s="227"/>
      <c r="L578" s="227"/>
      <c r="N578" s="227"/>
      <c r="O578" s="228"/>
      <c r="P578" s="227"/>
    </row>
    <row r="579">
      <c r="E579" s="227"/>
      <c r="G579" s="227"/>
      <c r="J579" s="227"/>
      <c r="K579" s="227"/>
      <c r="L579" s="227"/>
      <c r="N579" s="227"/>
      <c r="O579" s="228"/>
      <c r="P579" s="227"/>
    </row>
    <row r="580">
      <c r="E580" s="227"/>
      <c r="G580" s="227"/>
      <c r="J580" s="227"/>
      <c r="K580" s="227"/>
      <c r="L580" s="227"/>
      <c r="N580" s="227"/>
      <c r="O580" s="228"/>
      <c r="P580" s="227"/>
    </row>
    <row r="581">
      <c r="E581" s="227"/>
      <c r="G581" s="227"/>
      <c r="J581" s="227"/>
      <c r="K581" s="227"/>
      <c r="L581" s="227"/>
      <c r="N581" s="227"/>
      <c r="O581" s="228"/>
      <c r="P581" s="227"/>
    </row>
    <row r="582">
      <c r="E582" s="227"/>
      <c r="G582" s="227"/>
      <c r="J582" s="227"/>
      <c r="K582" s="227"/>
      <c r="L582" s="227"/>
      <c r="N582" s="227"/>
      <c r="O582" s="228"/>
      <c r="P582" s="227"/>
    </row>
    <row r="583">
      <c r="E583" s="227"/>
      <c r="G583" s="227"/>
      <c r="J583" s="227"/>
      <c r="K583" s="227"/>
      <c r="L583" s="227"/>
      <c r="N583" s="227"/>
      <c r="O583" s="228"/>
      <c r="P583" s="227"/>
    </row>
    <row r="584">
      <c r="E584" s="227"/>
      <c r="G584" s="227"/>
      <c r="J584" s="227"/>
      <c r="K584" s="227"/>
      <c r="L584" s="227"/>
      <c r="N584" s="227"/>
      <c r="O584" s="228"/>
      <c r="P584" s="227"/>
    </row>
    <row r="585">
      <c r="E585" s="227"/>
      <c r="G585" s="227"/>
      <c r="J585" s="227"/>
      <c r="K585" s="227"/>
      <c r="L585" s="227"/>
      <c r="N585" s="227"/>
      <c r="O585" s="228"/>
      <c r="P585" s="227"/>
    </row>
    <row r="586">
      <c r="E586" s="227"/>
      <c r="G586" s="227"/>
      <c r="J586" s="227"/>
      <c r="K586" s="227"/>
      <c r="L586" s="227"/>
      <c r="N586" s="227"/>
      <c r="O586" s="228"/>
      <c r="P586" s="227"/>
    </row>
    <row r="587">
      <c r="E587" s="227"/>
      <c r="G587" s="227"/>
      <c r="J587" s="227"/>
      <c r="K587" s="227"/>
      <c r="L587" s="227"/>
      <c r="N587" s="227"/>
      <c r="O587" s="228"/>
      <c r="P587" s="227"/>
    </row>
    <row r="588">
      <c r="E588" s="227"/>
      <c r="G588" s="227"/>
      <c r="J588" s="227"/>
      <c r="K588" s="227"/>
      <c r="L588" s="227"/>
      <c r="N588" s="227"/>
      <c r="O588" s="228"/>
      <c r="P588" s="227"/>
    </row>
    <row r="589">
      <c r="E589" s="227"/>
      <c r="G589" s="227"/>
      <c r="J589" s="227"/>
      <c r="K589" s="227"/>
      <c r="L589" s="227"/>
      <c r="N589" s="227"/>
      <c r="O589" s="228"/>
      <c r="P589" s="227"/>
    </row>
    <row r="590">
      <c r="E590" s="227"/>
      <c r="G590" s="227"/>
      <c r="J590" s="227"/>
      <c r="K590" s="227"/>
      <c r="L590" s="227"/>
      <c r="N590" s="227"/>
      <c r="O590" s="228"/>
      <c r="P590" s="227"/>
    </row>
    <row r="591">
      <c r="E591" s="227"/>
      <c r="G591" s="227"/>
      <c r="J591" s="227"/>
      <c r="K591" s="227"/>
      <c r="L591" s="227"/>
      <c r="N591" s="227"/>
      <c r="O591" s="228"/>
      <c r="P591" s="227"/>
    </row>
    <row r="592">
      <c r="E592" s="227"/>
      <c r="G592" s="227"/>
      <c r="J592" s="227"/>
      <c r="K592" s="227"/>
      <c r="L592" s="227"/>
      <c r="N592" s="227"/>
      <c r="O592" s="228"/>
      <c r="P592" s="227"/>
    </row>
    <row r="593">
      <c r="E593" s="227"/>
      <c r="G593" s="227"/>
      <c r="J593" s="227"/>
      <c r="K593" s="227"/>
      <c r="L593" s="227"/>
      <c r="N593" s="227"/>
      <c r="O593" s="228"/>
      <c r="P593" s="227"/>
    </row>
    <row r="594">
      <c r="E594" s="227"/>
      <c r="G594" s="227"/>
      <c r="J594" s="227"/>
      <c r="K594" s="227"/>
      <c r="L594" s="227"/>
      <c r="N594" s="227"/>
      <c r="O594" s="228"/>
      <c r="P594" s="227"/>
    </row>
    <row r="595">
      <c r="E595" s="227"/>
      <c r="G595" s="227"/>
      <c r="J595" s="227"/>
      <c r="K595" s="227"/>
      <c r="L595" s="227"/>
      <c r="N595" s="227"/>
      <c r="O595" s="228"/>
      <c r="P595" s="227"/>
    </row>
    <row r="596">
      <c r="E596" s="227"/>
      <c r="G596" s="227"/>
      <c r="J596" s="227"/>
      <c r="K596" s="227"/>
      <c r="L596" s="227"/>
      <c r="N596" s="227"/>
      <c r="O596" s="228"/>
      <c r="P596" s="227"/>
    </row>
    <row r="597">
      <c r="E597" s="227"/>
      <c r="G597" s="227"/>
      <c r="J597" s="227"/>
      <c r="K597" s="227"/>
      <c r="L597" s="227"/>
      <c r="N597" s="227"/>
      <c r="O597" s="228"/>
      <c r="P597" s="227"/>
    </row>
    <row r="598">
      <c r="E598" s="227"/>
      <c r="G598" s="227"/>
      <c r="J598" s="227"/>
      <c r="K598" s="227"/>
      <c r="L598" s="227"/>
      <c r="N598" s="227"/>
      <c r="O598" s="228"/>
      <c r="P598" s="227"/>
    </row>
    <row r="599">
      <c r="E599" s="227"/>
      <c r="G599" s="227"/>
      <c r="J599" s="227"/>
      <c r="K599" s="227"/>
      <c r="L599" s="227"/>
      <c r="N599" s="227"/>
      <c r="O599" s="228"/>
      <c r="P599" s="227"/>
    </row>
    <row r="600">
      <c r="E600" s="227"/>
      <c r="G600" s="227"/>
      <c r="J600" s="227"/>
      <c r="K600" s="227"/>
      <c r="L600" s="227"/>
      <c r="N600" s="227"/>
      <c r="O600" s="228"/>
      <c r="P600" s="227"/>
    </row>
    <row r="601">
      <c r="E601" s="227"/>
      <c r="G601" s="227"/>
      <c r="J601" s="227"/>
      <c r="K601" s="227"/>
      <c r="L601" s="227"/>
      <c r="N601" s="227"/>
      <c r="O601" s="228"/>
      <c r="P601" s="227"/>
    </row>
    <row r="602">
      <c r="E602" s="227"/>
      <c r="G602" s="227"/>
      <c r="J602" s="227"/>
      <c r="K602" s="227"/>
      <c r="L602" s="227"/>
      <c r="N602" s="227"/>
      <c r="O602" s="228"/>
      <c r="P602" s="227"/>
    </row>
    <row r="603">
      <c r="E603" s="227"/>
      <c r="G603" s="227"/>
      <c r="J603" s="227"/>
      <c r="K603" s="227"/>
      <c r="L603" s="227"/>
      <c r="N603" s="227"/>
      <c r="O603" s="228"/>
      <c r="P603" s="227"/>
    </row>
    <row r="604">
      <c r="E604" s="227"/>
      <c r="G604" s="227"/>
      <c r="J604" s="227"/>
      <c r="K604" s="227"/>
      <c r="L604" s="227"/>
      <c r="N604" s="227"/>
      <c r="O604" s="228"/>
      <c r="P604" s="227"/>
    </row>
    <row r="605">
      <c r="E605" s="227"/>
      <c r="G605" s="227"/>
      <c r="J605" s="227"/>
      <c r="K605" s="227"/>
      <c r="L605" s="227"/>
      <c r="N605" s="227"/>
      <c r="O605" s="228"/>
      <c r="P605" s="227"/>
    </row>
    <row r="606">
      <c r="E606" s="227"/>
      <c r="G606" s="227"/>
      <c r="J606" s="227"/>
      <c r="K606" s="227"/>
      <c r="L606" s="227"/>
      <c r="N606" s="227"/>
      <c r="O606" s="228"/>
      <c r="P606" s="227"/>
    </row>
    <row r="607">
      <c r="E607" s="227"/>
      <c r="G607" s="227"/>
      <c r="J607" s="227"/>
      <c r="K607" s="227"/>
      <c r="L607" s="227"/>
      <c r="N607" s="227"/>
      <c r="O607" s="228"/>
      <c r="P607" s="227"/>
    </row>
    <row r="608">
      <c r="E608" s="227"/>
      <c r="G608" s="227"/>
      <c r="J608" s="227"/>
      <c r="K608" s="227"/>
      <c r="L608" s="227"/>
      <c r="N608" s="227"/>
      <c r="O608" s="228"/>
      <c r="P608" s="227"/>
    </row>
    <row r="609">
      <c r="E609" s="227"/>
      <c r="G609" s="227"/>
      <c r="J609" s="227"/>
      <c r="K609" s="227"/>
      <c r="L609" s="227"/>
      <c r="N609" s="227"/>
      <c r="O609" s="228"/>
      <c r="P609" s="227"/>
    </row>
    <row r="610">
      <c r="E610" s="227"/>
      <c r="G610" s="227"/>
      <c r="J610" s="227"/>
      <c r="K610" s="227"/>
      <c r="L610" s="227"/>
      <c r="N610" s="227"/>
      <c r="O610" s="228"/>
      <c r="P610" s="227"/>
    </row>
    <row r="611">
      <c r="E611" s="227"/>
      <c r="G611" s="227"/>
      <c r="J611" s="227"/>
      <c r="K611" s="227"/>
      <c r="L611" s="227"/>
      <c r="N611" s="227"/>
      <c r="O611" s="228"/>
      <c r="P611" s="227"/>
    </row>
    <row r="612">
      <c r="E612" s="227"/>
      <c r="G612" s="227"/>
      <c r="J612" s="227"/>
      <c r="K612" s="227"/>
      <c r="L612" s="227"/>
      <c r="N612" s="227"/>
      <c r="O612" s="228"/>
      <c r="P612" s="227"/>
    </row>
    <row r="613">
      <c r="E613" s="227"/>
      <c r="G613" s="227"/>
      <c r="J613" s="227"/>
      <c r="K613" s="227"/>
      <c r="L613" s="227"/>
      <c r="N613" s="227"/>
      <c r="O613" s="228"/>
      <c r="P613" s="227"/>
    </row>
    <row r="614">
      <c r="E614" s="227"/>
      <c r="G614" s="227"/>
      <c r="J614" s="227"/>
      <c r="K614" s="227"/>
      <c r="L614" s="227"/>
      <c r="N614" s="227"/>
      <c r="O614" s="228"/>
      <c r="P614" s="227"/>
    </row>
    <row r="615">
      <c r="E615" s="227"/>
      <c r="G615" s="227"/>
      <c r="J615" s="227"/>
      <c r="K615" s="227"/>
      <c r="L615" s="227"/>
      <c r="N615" s="227"/>
      <c r="O615" s="228"/>
      <c r="P615" s="227"/>
    </row>
    <row r="616">
      <c r="E616" s="227"/>
      <c r="G616" s="227"/>
      <c r="J616" s="227"/>
      <c r="K616" s="227"/>
      <c r="L616" s="227"/>
      <c r="N616" s="227"/>
      <c r="O616" s="228"/>
      <c r="P616" s="227"/>
    </row>
    <row r="617">
      <c r="E617" s="227"/>
      <c r="G617" s="227"/>
      <c r="J617" s="227"/>
      <c r="K617" s="227"/>
      <c r="L617" s="227"/>
      <c r="N617" s="227"/>
      <c r="O617" s="228"/>
      <c r="P617" s="227"/>
    </row>
    <row r="618">
      <c r="E618" s="227"/>
      <c r="G618" s="227"/>
      <c r="J618" s="227"/>
      <c r="K618" s="227"/>
      <c r="L618" s="227"/>
      <c r="N618" s="227"/>
      <c r="O618" s="228"/>
      <c r="P618" s="227"/>
    </row>
    <row r="619">
      <c r="E619" s="227"/>
      <c r="G619" s="227"/>
      <c r="J619" s="227"/>
      <c r="K619" s="227"/>
      <c r="L619" s="227"/>
      <c r="N619" s="227"/>
      <c r="O619" s="228"/>
      <c r="P619" s="227"/>
    </row>
    <row r="620">
      <c r="E620" s="227"/>
      <c r="G620" s="227"/>
      <c r="J620" s="227"/>
      <c r="K620" s="227"/>
      <c r="L620" s="227"/>
      <c r="N620" s="227"/>
      <c r="O620" s="228"/>
      <c r="P620" s="227"/>
    </row>
    <row r="621">
      <c r="E621" s="227"/>
      <c r="G621" s="227"/>
      <c r="J621" s="227"/>
      <c r="K621" s="227"/>
      <c r="L621" s="227"/>
      <c r="N621" s="227"/>
      <c r="O621" s="228"/>
      <c r="P621" s="227"/>
    </row>
    <row r="622">
      <c r="E622" s="227"/>
      <c r="G622" s="227"/>
      <c r="J622" s="227"/>
      <c r="K622" s="227"/>
      <c r="L622" s="227"/>
      <c r="N622" s="227"/>
      <c r="O622" s="228"/>
      <c r="P622" s="227"/>
    </row>
    <row r="623">
      <c r="E623" s="227"/>
      <c r="G623" s="227"/>
      <c r="J623" s="227"/>
      <c r="K623" s="227"/>
      <c r="L623" s="227"/>
      <c r="N623" s="227"/>
      <c r="O623" s="228"/>
      <c r="P623" s="227"/>
    </row>
    <row r="624">
      <c r="E624" s="227"/>
      <c r="G624" s="227"/>
      <c r="J624" s="227"/>
      <c r="K624" s="227"/>
      <c r="L624" s="227"/>
      <c r="N624" s="227"/>
      <c r="O624" s="228"/>
      <c r="P624" s="227"/>
    </row>
    <row r="625">
      <c r="E625" s="227"/>
      <c r="G625" s="227"/>
      <c r="J625" s="227"/>
      <c r="K625" s="227"/>
      <c r="L625" s="227"/>
      <c r="N625" s="227"/>
      <c r="O625" s="228"/>
      <c r="P625" s="227"/>
    </row>
    <row r="626">
      <c r="E626" s="227"/>
      <c r="G626" s="227"/>
      <c r="J626" s="227"/>
      <c r="K626" s="227"/>
      <c r="L626" s="227"/>
      <c r="N626" s="227"/>
      <c r="O626" s="228"/>
      <c r="P626" s="227"/>
    </row>
    <row r="627">
      <c r="E627" s="227"/>
      <c r="G627" s="227"/>
      <c r="J627" s="227"/>
      <c r="K627" s="227"/>
      <c r="L627" s="227"/>
      <c r="N627" s="227"/>
      <c r="O627" s="228"/>
      <c r="P627" s="227"/>
    </row>
    <row r="628">
      <c r="E628" s="227"/>
      <c r="G628" s="227"/>
      <c r="J628" s="227"/>
      <c r="K628" s="227"/>
      <c r="L628" s="227"/>
      <c r="N628" s="227"/>
      <c r="O628" s="228"/>
      <c r="P628" s="227"/>
    </row>
    <row r="629">
      <c r="E629" s="227"/>
      <c r="G629" s="227"/>
      <c r="J629" s="227"/>
      <c r="K629" s="227"/>
      <c r="L629" s="227"/>
      <c r="N629" s="227"/>
      <c r="O629" s="228"/>
      <c r="P629" s="227"/>
    </row>
    <row r="630">
      <c r="E630" s="227"/>
      <c r="G630" s="227"/>
      <c r="J630" s="227"/>
      <c r="K630" s="227"/>
      <c r="L630" s="227"/>
      <c r="N630" s="227"/>
      <c r="O630" s="228"/>
      <c r="P630" s="227"/>
    </row>
    <row r="631">
      <c r="E631" s="227"/>
      <c r="G631" s="227"/>
      <c r="J631" s="227"/>
      <c r="K631" s="227"/>
      <c r="L631" s="227"/>
      <c r="N631" s="227"/>
      <c r="O631" s="228"/>
      <c r="P631" s="227"/>
    </row>
    <row r="632">
      <c r="E632" s="227"/>
      <c r="G632" s="227"/>
      <c r="J632" s="227"/>
      <c r="K632" s="227"/>
      <c r="L632" s="227"/>
      <c r="N632" s="227"/>
      <c r="O632" s="228"/>
      <c r="P632" s="227"/>
    </row>
    <row r="633">
      <c r="E633" s="227"/>
      <c r="G633" s="227"/>
      <c r="J633" s="227"/>
      <c r="K633" s="227"/>
      <c r="L633" s="227"/>
      <c r="N633" s="227"/>
      <c r="O633" s="228"/>
      <c r="P633" s="227"/>
    </row>
    <row r="634">
      <c r="E634" s="227"/>
      <c r="G634" s="227"/>
      <c r="J634" s="227"/>
      <c r="K634" s="227"/>
      <c r="L634" s="227"/>
      <c r="N634" s="227"/>
      <c r="O634" s="228"/>
      <c r="P634" s="227"/>
    </row>
    <row r="635">
      <c r="E635" s="227"/>
      <c r="G635" s="227"/>
      <c r="J635" s="227"/>
      <c r="K635" s="227"/>
      <c r="L635" s="227"/>
      <c r="N635" s="227"/>
      <c r="O635" s="228"/>
      <c r="P635" s="227"/>
    </row>
    <row r="636">
      <c r="E636" s="227"/>
      <c r="G636" s="227"/>
      <c r="J636" s="227"/>
      <c r="K636" s="227"/>
      <c r="L636" s="227"/>
      <c r="N636" s="227"/>
      <c r="O636" s="228"/>
      <c r="P636" s="227"/>
    </row>
    <row r="637">
      <c r="E637" s="227"/>
      <c r="G637" s="227"/>
      <c r="J637" s="227"/>
      <c r="K637" s="227"/>
      <c r="L637" s="227"/>
      <c r="N637" s="227"/>
      <c r="O637" s="228"/>
      <c r="P637" s="227"/>
    </row>
    <row r="638">
      <c r="E638" s="227"/>
      <c r="G638" s="227"/>
      <c r="J638" s="227"/>
      <c r="K638" s="227"/>
      <c r="L638" s="227"/>
      <c r="N638" s="227"/>
      <c r="O638" s="228"/>
      <c r="P638" s="227"/>
    </row>
    <row r="639">
      <c r="E639" s="227"/>
      <c r="G639" s="227"/>
      <c r="J639" s="227"/>
      <c r="K639" s="227"/>
      <c r="L639" s="227"/>
      <c r="N639" s="227"/>
      <c r="O639" s="228"/>
      <c r="P639" s="227"/>
    </row>
    <row r="640">
      <c r="E640" s="227"/>
      <c r="G640" s="227"/>
      <c r="J640" s="227"/>
      <c r="K640" s="227"/>
      <c r="L640" s="227"/>
      <c r="N640" s="227"/>
      <c r="O640" s="228"/>
      <c r="P640" s="227"/>
    </row>
    <row r="641">
      <c r="E641" s="227"/>
      <c r="G641" s="227"/>
      <c r="J641" s="227"/>
      <c r="K641" s="227"/>
      <c r="L641" s="227"/>
      <c r="N641" s="227"/>
      <c r="O641" s="228"/>
      <c r="P641" s="227"/>
    </row>
    <row r="642">
      <c r="E642" s="227"/>
      <c r="G642" s="227"/>
      <c r="J642" s="227"/>
      <c r="K642" s="227"/>
      <c r="L642" s="227"/>
      <c r="N642" s="227"/>
      <c r="O642" s="228"/>
      <c r="P642" s="227"/>
    </row>
    <row r="643">
      <c r="E643" s="227"/>
      <c r="G643" s="227"/>
      <c r="J643" s="227"/>
      <c r="K643" s="227"/>
      <c r="L643" s="227"/>
      <c r="N643" s="227"/>
      <c r="O643" s="228"/>
      <c r="P643" s="227"/>
    </row>
    <row r="644">
      <c r="E644" s="227"/>
      <c r="G644" s="227"/>
      <c r="J644" s="227"/>
      <c r="K644" s="227"/>
      <c r="L644" s="227"/>
      <c r="N644" s="227"/>
      <c r="O644" s="228"/>
      <c r="P644" s="227"/>
    </row>
    <row r="645">
      <c r="E645" s="227"/>
      <c r="G645" s="227"/>
      <c r="J645" s="227"/>
      <c r="K645" s="227"/>
      <c r="L645" s="227"/>
      <c r="N645" s="227"/>
      <c r="O645" s="228"/>
      <c r="P645" s="227"/>
    </row>
    <row r="646">
      <c r="E646" s="227"/>
      <c r="G646" s="227"/>
      <c r="J646" s="227"/>
      <c r="K646" s="227"/>
      <c r="L646" s="227"/>
      <c r="N646" s="227"/>
      <c r="O646" s="228"/>
      <c r="P646" s="227"/>
    </row>
    <row r="647">
      <c r="E647" s="227"/>
      <c r="G647" s="227"/>
      <c r="J647" s="227"/>
      <c r="K647" s="227"/>
      <c r="L647" s="227"/>
      <c r="N647" s="227"/>
      <c r="O647" s="228"/>
      <c r="P647" s="227"/>
    </row>
    <row r="648">
      <c r="E648" s="227"/>
      <c r="G648" s="227"/>
      <c r="J648" s="227"/>
      <c r="K648" s="227"/>
      <c r="L648" s="227"/>
      <c r="N648" s="227"/>
      <c r="O648" s="228"/>
      <c r="P648" s="227"/>
    </row>
    <row r="649">
      <c r="E649" s="227"/>
      <c r="G649" s="227"/>
      <c r="J649" s="227"/>
      <c r="K649" s="227"/>
      <c r="L649" s="227"/>
      <c r="N649" s="227"/>
      <c r="O649" s="228"/>
      <c r="P649" s="227"/>
    </row>
    <row r="650">
      <c r="E650" s="227"/>
      <c r="G650" s="227"/>
      <c r="J650" s="227"/>
      <c r="K650" s="227"/>
      <c r="L650" s="227"/>
      <c r="N650" s="227"/>
      <c r="O650" s="228"/>
      <c r="P650" s="227"/>
    </row>
    <row r="651">
      <c r="E651" s="227"/>
      <c r="G651" s="227"/>
      <c r="J651" s="227"/>
      <c r="K651" s="227"/>
      <c r="L651" s="227"/>
      <c r="N651" s="227"/>
      <c r="O651" s="228"/>
      <c r="P651" s="227"/>
    </row>
    <row r="652">
      <c r="E652" s="227"/>
      <c r="G652" s="227"/>
      <c r="J652" s="227"/>
      <c r="K652" s="227"/>
      <c r="L652" s="227"/>
      <c r="N652" s="227"/>
      <c r="O652" s="228"/>
      <c r="P652" s="227"/>
    </row>
    <row r="653">
      <c r="E653" s="227"/>
      <c r="G653" s="227"/>
      <c r="J653" s="227"/>
      <c r="K653" s="227"/>
      <c r="L653" s="227"/>
      <c r="N653" s="227"/>
      <c r="O653" s="228"/>
      <c r="P653" s="227"/>
    </row>
    <row r="654">
      <c r="E654" s="227"/>
      <c r="G654" s="227"/>
      <c r="J654" s="227"/>
      <c r="K654" s="227"/>
      <c r="L654" s="227"/>
      <c r="N654" s="227"/>
      <c r="O654" s="228"/>
      <c r="P654" s="227"/>
    </row>
    <row r="655">
      <c r="E655" s="227"/>
      <c r="G655" s="227"/>
      <c r="J655" s="227"/>
      <c r="K655" s="227"/>
      <c r="L655" s="227"/>
      <c r="N655" s="227"/>
      <c r="O655" s="228"/>
      <c r="P655" s="227"/>
    </row>
    <row r="656">
      <c r="E656" s="227"/>
      <c r="G656" s="227"/>
      <c r="J656" s="227"/>
      <c r="K656" s="227"/>
      <c r="L656" s="227"/>
      <c r="N656" s="227"/>
      <c r="O656" s="228"/>
      <c r="P656" s="227"/>
    </row>
    <row r="657">
      <c r="E657" s="227"/>
      <c r="G657" s="227"/>
      <c r="J657" s="227"/>
      <c r="K657" s="227"/>
      <c r="L657" s="227"/>
      <c r="N657" s="227"/>
      <c r="O657" s="228"/>
      <c r="P657" s="227"/>
    </row>
    <row r="658">
      <c r="E658" s="227"/>
      <c r="G658" s="227"/>
      <c r="J658" s="227"/>
      <c r="K658" s="227"/>
      <c r="L658" s="227"/>
      <c r="N658" s="227"/>
      <c r="O658" s="228"/>
      <c r="P658" s="227"/>
    </row>
    <row r="659">
      <c r="E659" s="227"/>
      <c r="G659" s="227"/>
      <c r="J659" s="227"/>
      <c r="K659" s="227"/>
      <c r="L659" s="227"/>
      <c r="N659" s="227"/>
      <c r="O659" s="228"/>
      <c r="P659" s="227"/>
    </row>
    <row r="660">
      <c r="E660" s="227"/>
      <c r="G660" s="227"/>
      <c r="J660" s="227"/>
      <c r="K660" s="227"/>
      <c r="L660" s="227"/>
      <c r="N660" s="227"/>
      <c r="O660" s="228"/>
      <c r="P660" s="227"/>
    </row>
    <row r="661">
      <c r="E661" s="227"/>
      <c r="G661" s="227"/>
      <c r="J661" s="227"/>
      <c r="K661" s="227"/>
      <c r="L661" s="227"/>
      <c r="N661" s="227"/>
      <c r="O661" s="228"/>
      <c r="P661" s="227"/>
    </row>
    <row r="662">
      <c r="E662" s="227"/>
      <c r="G662" s="227"/>
      <c r="J662" s="227"/>
      <c r="K662" s="227"/>
      <c r="L662" s="227"/>
      <c r="N662" s="227"/>
      <c r="O662" s="228"/>
      <c r="P662" s="227"/>
    </row>
    <row r="663">
      <c r="E663" s="227"/>
      <c r="G663" s="227"/>
      <c r="J663" s="227"/>
      <c r="K663" s="227"/>
      <c r="L663" s="227"/>
      <c r="N663" s="227"/>
      <c r="O663" s="228"/>
      <c r="P663" s="227"/>
    </row>
    <row r="664">
      <c r="E664" s="227"/>
      <c r="G664" s="227"/>
      <c r="J664" s="227"/>
      <c r="K664" s="227"/>
      <c r="L664" s="227"/>
      <c r="N664" s="227"/>
      <c r="O664" s="228"/>
      <c r="P664" s="227"/>
    </row>
    <row r="665">
      <c r="E665" s="227"/>
      <c r="G665" s="227"/>
      <c r="J665" s="227"/>
      <c r="K665" s="227"/>
      <c r="L665" s="227"/>
      <c r="N665" s="227"/>
      <c r="O665" s="228"/>
      <c r="P665" s="227"/>
    </row>
    <row r="666">
      <c r="E666" s="227"/>
      <c r="G666" s="227"/>
      <c r="J666" s="227"/>
      <c r="K666" s="227"/>
      <c r="L666" s="227"/>
      <c r="N666" s="227"/>
      <c r="O666" s="228"/>
      <c r="P666" s="227"/>
    </row>
    <row r="667">
      <c r="E667" s="227"/>
      <c r="G667" s="227"/>
      <c r="J667" s="227"/>
      <c r="K667" s="227"/>
      <c r="L667" s="227"/>
      <c r="N667" s="227"/>
      <c r="O667" s="228"/>
      <c r="P667" s="227"/>
    </row>
    <row r="668">
      <c r="E668" s="227"/>
      <c r="G668" s="227"/>
      <c r="J668" s="227"/>
      <c r="K668" s="227"/>
      <c r="L668" s="227"/>
      <c r="N668" s="227"/>
      <c r="O668" s="228"/>
      <c r="P668" s="227"/>
    </row>
    <row r="669">
      <c r="E669" s="227"/>
      <c r="G669" s="227"/>
      <c r="J669" s="227"/>
      <c r="K669" s="227"/>
      <c r="L669" s="227"/>
      <c r="N669" s="227"/>
      <c r="O669" s="228"/>
      <c r="P669" s="227"/>
    </row>
    <row r="670">
      <c r="E670" s="227"/>
      <c r="G670" s="227"/>
      <c r="J670" s="227"/>
      <c r="K670" s="227"/>
      <c r="L670" s="227"/>
      <c r="N670" s="227"/>
      <c r="O670" s="228"/>
      <c r="P670" s="227"/>
    </row>
    <row r="671">
      <c r="E671" s="227"/>
      <c r="G671" s="227"/>
      <c r="J671" s="227"/>
      <c r="K671" s="227"/>
      <c r="L671" s="227"/>
      <c r="N671" s="227"/>
      <c r="O671" s="228"/>
      <c r="P671" s="227"/>
    </row>
    <row r="672">
      <c r="E672" s="227"/>
      <c r="G672" s="227"/>
      <c r="J672" s="227"/>
      <c r="K672" s="227"/>
      <c r="L672" s="227"/>
      <c r="N672" s="227"/>
      <c r="O672" s="228"/>
      <c r="P672" s="227"/>
    </row>
    <row r="673">
      <c r="E673" s="227"/>
      <c r="G673" s="227"/>
      <c r="J673" s="227"/>
      <c r="K673" s="227"/>
      <c r="L673" s="227"/>
      <c r="N673" s="227"/>
      <c r="O673" s="228"/>
      <c r="P673" s="227"/>
    </row>
    <row r="674">
      <c r="E674" s="227"/>
      <c r="G674" s="227"/>
      <c r="J674" s="227"/>
      <c r="K674" s="227"/>
      <c r="L674" s="227"/>
      <c r="N674" s="227"/>
      <c r="O674" s="228"/>
      <c r="P674" s="227"/>
    </row>
    <row r="675">
      <c r="E675" s="227"/>
      <c r="G675" s="227"/>
      <c r="J675" s="227"/>
      <c r="K675" s="227"/>
      <c r="L675" s="227"/>
      <c r="N675" s="227"/>
      <c r="O675" s="228"/>
      <c r="P675" s="227"/>
    </row>
    <row r="676">
      <c r="E676" s="227"/>
      <c r="G676" s="227"/>
      <c r="J676" s="227"/>
      <c r="K676" s="227"/>
      <c r="L676" s="227"/>
      <c r="N676" s="227"/>
      <c r="O676" s="228"/>
      <c r="P676" s="227"/>
    </row>
    <row r="677">
      <c r="E677" s="227"/>
      <c r="G677" s="227"/>
      <c r="J677" s="227"/>
      <c r="K677" s="227"/>
      <c r="L677" s="227"/>
      <c r="N677" s="227"/>
      <c r="O677" s="228"/>
      <c r="P677" s="227"/>
    </row>
    <row r="678">
      <c r="E678" s="227"/>
      <c r="G678" s="227"/>
      <c r="J678" s="227"/>
      <c r="K678" s="227"/>
      <c r="L678" s="227"/>
      <c r="N678" s="227"/>
      <c r="O678" s="228"/>
      <c r="P678" s="227"/>
    </row>
    <row r="679">
      <c r="E679" s="227"/>
      <c r="G679" s="227"/>
      <c r="J679" s="227"/>
      <c r="K679" s="227"/>
      <c r="L679" s="227"/>
      <c r="N679" s="227"/>
      <c r="O679" s="228"/>
      <c r="P679" s="227"/>
    </row>
    <row r="680">
      <c r="E680" s="227"/>
      <c r="G680" s="227"/>
      <c r="J680" s="227"/>
      <c r="K680" s="227"/>
      <c r="L680" s="227"/>
      <c r="N680" s="227"/>
      <c r="O680" s="228"/>
      <c r="P680" s="227"/>
    </row>
    <row r="681">
      <c r="E681" s="227"/>
      <c r="G681" s="227"/>
      <c r="J681" s="227"/>
      <c r="K681" s="227"/>
      <c r="L681" s="227"/>
      <c r="N681" s="227"/>
      <c r="O681" s="228"/>
      <c r="P681" s="227"/>
    </row>
    <row r="682">
      <c r="E682" s="227"/>
      <c r="G682" s="227"/>
      <c r="J682" s="227"/>
      <c r="K682" s="227"/>
      <c r="L682" s="227"/>
      <c r="N682" s="227"/>
      <c r="O682" s="228"/>
      <c r="P682" s="227"/>
    </row>
    <row r="683">
      <c r="E683" s="227"/>
      <c r="G683" s="227"/>
      <c r="J683" s="227"/>
      <c r="K683" s="227"/>
      <c r="L683" s="227"/>
      <c r="N683" s="227"/>
      <c r="O683" s="228"/>
      <c r="P683" s="227"/>
    </row>
    <row r="684">
      <c r="E684" s="227"/>
      <c r="G684" s="227"/>
      <c r="J684" s="227"/>
      <c r="K684" s="227"/>
      <c r="L684" s="227"/>
      <c r="N684" s="227"/>
      <c r="O684" s="228"/>
      <c r="P684" s="227"/>
    </row>
    <row r="685">
      <c r="E685" s="227"/>
      <c r="G685" s="227"/>
      <c r="J685" s="227"/>
      <c r="K685" s="227"/>
      <c r="L685" s="227"/>
      <c r="N685" s="227"/>
      <c r="O685" s="228"/>
      <c r="P685" s="227"/>
    </row>
    <row r="686">
      <c r="E686" s="227"/>
      <c r="G686" s="227"/>
      <c r="J686" s="227"/>
      <c r="K686" s="227"/>
      <c r="L686" s="227"/>
      <c r="N686" s="227"/>
      <c r="O686" s="228"/>
      <c r="P686" s="227"/>
    </row>
    <row r="687">
      <c r="E687" s="227"/>
      <c r="G687" s="227"/>
      <c r="J687" s="227"/>
      <c r="K687" s="227"/>
      <c r="L687" s="227"/>
      <c r="N687" s="227"/>
      <c r="O687" s="228"/>
      <c r="P687" s="227"/>
    </row>
    <row r="688">
      <c r="E688" s="227"/>
      <c r="G688" s="227"/>
      <c r="J688" s="227"/>
      <c r="K688" s="227"/>
      <c r="L688" s="227"/>
      <c r="N688" s="227"/>
      <c r="O688" s="228"/>
      <c r="P688" s="227"/>
    </row>
    <row r="689">
      <c r="E689" s="227"/>
      <c r="G689" s="227"/>
      <c r="J689" s="227"/>
      <c r="K689" s="227"/>
      <c r="L689" s="227"/>
      <c r="N689" s="227"/>
      <c r="O689" s="228"/>
      <c r="P689" s="227"/>
    </row>
    <row r="690">
      <c r="E690" s="227"/>
      <c r="G690" s="227"/>
      <c r="J690" s="227"/>
      <c r="K690" s="227"/>
      <c r="L690" s="227"/>
      <c r="N690" s="227"/>
      <c r="O690" s="228"/>
      <c r="P690" s="227"/>
    </row>
    <row r="691">
      <c r="E691" s="227"/>
      <c r="G691" s="227"/>
      <c r="J691" s="227"/>
      <c r="K691" s="227"/>
      <c r="L691" s="227"/>
      <c r="N691" s="227"/>
      <c r="O691" s="228"/>
      <c r="P691" s="227"/>
    </row>
    <row r="692">
      <c r="E692" s="227"/>
      <c r="G692" s="227"/>
      <c r="J692" s="227"/>
      <c r="K692" s="227"/>
      <c r="L692" s="227"/>
      <c r="N692" s="227"/>
      <c r="O692" s="228"/>
      <c r="P692" s="227"/>
    </row>
    <row r="693">
      <c r="E693" s="227"/>
      <c r="G693" s="227"/>
      <c r="J693" s="227"/>
      <c r="K693" s="227"/>
      <c r="L693" s="227"/>
      <c r="N693" s="227"/>
      <c r="O693" s="228"/>
      <c r="P693" s="227"/>
    </row>
    <row r="694">
      <c r="E694" s="227"/>
      <c r="G694" s="227"/>
      <c r="J694" s="227"/>
      <c r="K694" s="227"/>
      <c r="L694" s="227"/>
      <c r="N694" s="227"/>
      <c r="O694" s="228"/>
      <c r="P694" s="227"/>
    </row>
    <row r="695">
      <c r="E695" s="227"/>
      <c r="G695" s="227"/>
      <c r="J695" s="227"/>
      <c r="K695" s="227"/>
      <c r="L695" s="227"/>
      <c r="N695" s="227"/>
      <c r="O695" s="228"/>
      <c r="P695" s="227"/>
    </row>
    <row r="696">
      <c r="E696" s="227"/>
      <c r="G696" s="227"/>
      <c r="J696" s="227"/>
      <c r="K696" s="227"/>
      <c r="L696" s="227"/>
      <c r="N696" s="227"/>
      <c r="O696" s="228"/>
      <c r="P696" s="227"/>
    </row>
    <row r="697">
      <c r="E697" s="227"/>
      <c r="G697" s="227"/>
      <c r="J697" s="227"/>
      <c r="K697" s="227"/>
      <c r="L697" s="227"/>
      <c r="N697" s="227"/>
      <c r="O697" s="228"/>
      <c r="P697" s="227"/>
    </row>
    <row r="698">
      <c r="E698" s="227"/>
      <c r="G698" s="227"/>
      <c r="J698" s="227"/>
      <c r="K698" s="227"/>
      <c r="L698" s="227"/>
      <c r="N698" s="227"/>
      <c r="O698" s="228"/>
      <c r="P698" s="227"/>
    </row>
    <row r="699">
      <c r="E699" s="227"/>
      <c r="G699" s="227"/>
      <c r="J699" s="227"/>
      <c r="K699" s="227"/>
      <c r="L699" s="227"/>
      <c r="N699" s="227"/>
      <c r="O699" s="228"/>
      <c r="P699" s="227"/>
    </row>
    <row r="700">
      <c r="E700" s="227"/>
      <c r="G700" s="227"/>
      <c r="J700" s="227"/>
      <c r="K700" s="227"/>
      <c r="L700" s="227"/>
      <c r="N700" s="227"/>
      <c r="O700" s="228"/>
      <c r="P700" s="227"/>
    </row>
    <row r="701">
      <c r="E701" s="227"/>
      <c r="G701" s="227"/>
      <c r="J701" s="227"/>
      <c r="K701" s="227"/>
      <c r="L701" s="227"/>
      <c r="N701" s="227"/>
      <c r="O701" s="228"/>
      <c r="P701" s="227"/>
    </row>
    <row r="702">
      <c r="E702" s="227"/>
      <c r="G702" s="227"/>
      <c r="J702" s="227"/>
      <c r="K702" s="227"/>
      <c r="L702" s="227"/>
      <c r="N702" s="227"/>
      <c r="O702" s="228"/>
      <c r="P702" s="227"/>
    </row>
    <row r="703">
      <c r="E703" s="227"/>
      <c r="G703" s="227"/>
      <c r="J703" s="227"/>
      <c r="K703" s="227"/>
      <c r="L703" s="227"/>
      <c r="N703" s="227"/>
      <c r="O703" s="228"/>
      <c r="P703" s="227"/>
    </row>
    <row r="704">
      <c r="E704" s="227"/>
      <c r="G704" s="227"/>
      <c r="J704" s="227"/>
      <c r="K704" s="227"/>
      <c r="L704" s="227"/>
      <c r="N704" s="227"/>
      <c r="O704" s="228"/>
      <c r="P704" s="227"/>
    </row>
    <row r="705">
      <c r="E705" s="227"/>
      <c r="G705" s="227"/>
      <c r="J705" s="227"/>
      <c r="K705" s="227"/>
      <c r="L705" s="227"/>
      <c r="N705" s="227"/>
      <c r="O705" s="228"/>
      <c r="P705" s="227"/>
    </row>
    <row r="706">
      <c r="E706" s="227"/>
      <c r="G706" s="227"/>
      <c r="J706" s="227"/>
      <c r="K706" s="227"/>
      <c r="L706" s="227"/>
      <c r="N706" s="227"/>
      <c r="O706" s="228"/>
      <c r="P706" s="227"/>
    </row>
    <row r="707">
      <c r="E707" s="227"/>
      <c r="G707" s="227"/>
      <c r="J707" s="227"/>
      <c r="K707" s="227"/>
      <c r="L707" s="227"/>
      <c r="N707" s="227"/>
      <c r="O707" s="228"/>
      <c r="P707" s="227"/>
    </row>
    <row r="708">
      <c r="E708" s="227"/>
      <c r="G708" s="227"/>
      <c r="J708" s="227"/>
      <c r="K708" s="227"/>
      <c r="L708" s="227"/>
      <c r="N708" s="227"/>
      <c r="O708" s="228"/>
      <c r="P708" s="227"/>
    </row>
    <row r="709">
      <c r="E709" s="227"/>
      <c r="G709" s="227"/>
      <c r="J709" s="227"/>
      <c r="K709" s="227"/>
      <c r="L709" s="227"/>
      <c r="N709" s="227"/>
      <c r="O709" s="228"/>
      <c r="P709" s="227"/>
    </row>
    <row r="710">
      <c r="E710" s="227"/>
      <c r="G710" s="227"/>
      <c r="J710" s="227"/>
      <c r="K710" s="227"/>
      <c r="L710" s="227"/>
      <c r="N710" s="227"/>
      <c r="O710" s="228"/>
      <c r="P710" s="227"/>
    </row>
    <row r="711">
      <c r="E711" s="227"/>
      <c r="G711" s="227"/>
      <c r="J711" s="227"/>
      <c r="K711" s="227"/>
      <c r="L711" s="227"/>
      <c r="N711" s="227"/>
      <c r="O711" s="228"/>
      <c r="P711" s="227"/>
    </row>
    <row r="712">
      <c r="E712" s="227"/>
      <c r="G712" s="227"/>
      <c r="J712" s="227"/>
      <c r="K712" s="227"/>
      <c r="L712" s="227"/>
      <c r="N712" s="227"/>
      <c r="O712" s="228"/>
      <c r="P712" s="227"/>
    </row>
    <row r="713">
      <c r="E713" s="227"/>
      <c r="G713" s="227"/>
      <c r="J713" s="227"/>
      <c r="K713" s="227"/>
      <c r="L713" s="227"/>
      <c r="N713" s="227"/>
      <c r="O713" s="228"/>
      <c r="P713" s="227"/>
    </row>
    <row r="714">
      <c r="E714" s="227"/>
      <c r="G714" s="227"/>
      <c r="J714" s="227"/>
      <c r="K714" s="227"/>
      <c r="L714" s="227"/>
      <c r="N714" s="227"/>
      <c r="O714" s="228"/>
      <c r="P714" s="227"/>
    </row>
    <row r="715">
      <c r="E715" s="227"/>
      <c r="G715" s="227"/>
      <c r="J715" s="227"/>
      <c r="K715" s="227"/>
      <c r="L715" s="227"/>
      <c r="N715" s="227"/>
      <c r="O715" s="228"/>
      <c r="P715" s="227"/>
    </row>
    <row r="716">
      <c r="E716" s="227"/>
      <c r="G716" s="227"/>
      <c r="J716" s="227"/>
      <c r="K716" s="227"/>
      <c r="L716" s="227"/>
      <c r="N716" s="227"/>
      <c r="O716" s="228"/>
      <c r="P716" s="227"/>
    </row>
    <row r="717">
      <c r="E717" s="227"/>
      <c r="G717" s="227"/>
      <c r="J717" s="227"/>
      <c r="K717" s="227"/>
      <c r="L717" s="227"/>
      <c r="N717" s="227"/>
      <c r="O717" s="228"/>
      <c r="P717" s="227"/>
    </row>
    <row r="718">
      <c r="E718" s="227"/>
      <c r="G718" s="227"/>
      <c r="J718" s="227"/>
      <c r="K718" s="227"/>
      <c r="L718" s="227"/>
      <c r="N718" s="227"/>
      <c r="O718" s="228"/>
      <c r="P718" s="227"/>
    </row>
    <row r="719">
      <c r="E719" s="227"/>
      <c r="G719" s="227"/>
      <c r="J719" s="227"/>
      <c r="K719" s="227"/>
      <c r="L719" s="227"/>
      <c r="N719" s="227"/>
      <c r="O719" s="228"/>
      <c r="P719" s="227"/>
    </row>
    <row r="720">
      <c r="E720" s="227"/>
      <c r="G720" s="227"/>
      <c r="J720" s="227"/>
      <c r="K720" s="227"/>
      <c r="L720" s="227"/>
      <c r="N720" s="227"/>
      <c r="O720" s="228"/>
      <c r="P720" s="227"/>
    </row>
    <row r="721">
      <c r="E721" s="227"/>
      <c r="G721" s="227"/>
      <c r="J721" s="227"/>
      <c r="K721" s="227"/>
      <c r="L721" s="227"/>
      <c r="N721" s="227"/>
      <c r="O721" s="228"/>
      <c r="P721" s="227"/>
    </row>
    <row r="722">
      <c r="E722" s="227"/>
      <c r="G722" s="227"/>
      <c r="J722" s="227"/>
      <c r="K722" s="227"/>
      <c r="L722" s="227"/>
      <c r="N722" s="227"/>
      <c r="O722" s="228"/>
      <c r="P722" s="227"/>
    </row>
    <row r="723">
      <c r="E723" s="227"/>
      <c r="G723" s="227"/>
      <c r="J723" s="227"/>
      <c r="K723" s="227"/>
      <c r="L723" s="227"/>
      <c r="N723" s="227"/>
      <c r="O723" s="228"/>
      <c r="P723" s="227"/>
    </row>
    <row r="724">
      <c r="E724" s="227"/>
      <c r="G724" s="227"/>
      <c r="J724" s="227"/>
      <c r="K724" s="227"/>
      <c r="L724" s="227"/>
      <c r="N724" s="227"/>
      <c r="O724" s="228"/>
      <c r="P724" s="227"/>
    </row>
    <row r="725">
      <c r="E725" s="227"/>
      <c r="G725" s="227"/>
      <c r="J725" s="227"/>
      <c r="K725" s="227"/>
      <c r="L725" s="227"/>
      <c r="N725" s="227"/>
      <c r="O725" s="228"/>
      <c r="P725" s="227"/>
    </row>
    <row r="726">
      <c r="E726" s="227"/>
      <c r="G726" s="227"/>
      <c r="J726" s="227"/>
      <c r="K726" s="227"/>
      <c r="L726" s="227"/>
      <c r="N726" s="227"/>
      <c r="O726" s="228"/>
      <c r="P726" s="227"/>
    </row>
    <row r="727">
      <c r="E727" s="227"/>
      <c r="G727" s="227"/>
      <c r="J727" s="227"/>
      <c r="K727" s="227"/>
      <c r="L727" s="227"/>
      <c r="N727" s="227"/>
      <c r="O727" s="228"/>
      <c r="P727" s="227"/>
    </row>
    <row r="728">
      <c r="E728" s="227"/>
      <c r="G728" s="227"/>
      <c r="J728" s="227"/>
      <c r="K728" s="227"/>
      <c r="L728" s="227"/>
      <c r="N728" s="227"/>
      <c r="O728" s="228"/>
      <c r="P728" s="227"/>
    </row>
    <row r="729">
      <c r="E729" s="227"/>
      <c r="G729" s="227"/>
      <c r="J729" s="227"/>
      <c r="K729" s="227"/>
      <c r="L729" s="227"/>
      <c r="N729" s="227"/>
      <c r="O729" s="228"/>
      <c r="P729" s="227"/>
    </row>
    <row r="730">
      <c r="E730" s="227"/>
      <c r="G730" s="227"/>
      <c r="J730" s="227"/>
      <c r="K730" s="227"/>
      <c r="L730" s="227"/>
      <c r="N730" s="227"/>
      <c r="O730" s="228"/>
      <c r="P730" s="227"/>
    </row>
    <row r="731">
      <c r="E731" s="227"/>
      <c r="G731" s="227"/>
      <c r="J731" s="227"/>
      <c r="K731" s="227"/>
      <c r="L731" s="227"/>
      <c r="N731" s="227"/>
      <c r="O731" s="228"/>
      <c r="P731" s="227"/>
    </row>
    <row r="732">
      <c r="E732" s="227"/>
      <c r="G732" s="227"/>
      <c r="J732" s="227"/>
      <c r="K732" s="227"/>
      <c r="L732" s="227"/>
      <c r="N732" s="227"/>
      <c r="O732" s="228"/>
      <c r="P732" s="227"/>
    </row>
    <row r="733">
      <c r="E733" s="227"/>
      <c r="G733" s="227"/>
      <c r="J733" s="227"/>
      <c r="K733" s="227"/>
      <c r="L733" s="227"/>
      <c r="N733" s="227"/>
      <c r="O733" s="228"/>
      <c r="P733" s="227"/>
    </row>
    <row r="734">
      <c r="E734" s="227"/>
      <c r="G734" s="227"/>
      <c r="J734" s="227"/>
      <c r="K734" s="227"/>
      <c r="L734" s="227"/>
      <c r="N734" s="227"/>
      <c r="O734" s="228"/>
      <c r="P734" s="227"/>
    </row>
    <row r="735">
      <c r="E735" s="227"/>
      <c r="G735" s="227"/>
      <c r="J735" s="227"/>
      <c r="K735" s="227"/>
      <c r="L735" s="227"/>
      <c r="N735" s="227"/>
      <c r="O735" s="228"/>
      <c r="P735" s="227"/>
    </row>
    <row r="736">
      <c r="E736" s="227"/>
      <c r="G736" s="227"/>
      <c r="J736" s="227"/>
      <c r="K736" s="227"/>
      <c r="L736" s="227"/>
      <c r="N736" s="227"/>
      <c r="O736" s="228"/>
      <c r="P736" s="227"/>
    </row>
    <row r="737">
      <c r="E737" s="227"/>
      <c r="G737" s="227"/>
      <c r="J737" s="227"/>
      <c r="K737" s="227"/>
      <c r="L737" s="227"/>
      <c r="N737" s="227"/>
      <c r="O737" s="228"/>
      <c r="P737" s="227"/>
    </row>
    <row r="738">
      <c r="E738" s="227"/>
      <c r="G738" s="227"/>
      <c r="J738" s="227"/>
      <c r="K738" s="227"/>
      <c r="L738" s="227"/>
      <c r="N738" s="227"/>
      <c r="O738" s="228"/>
      <c r="P738" s="227"/>
    </row>
    <row r="739">
      <c r="E739" s="227"/>
      <c r="G739" s="227"/>
      <c r="J739" s="227"/>
      <c r="K739" s="227"/>
      <c r="L739" s="227"/>
      <c r="N739" s="227"/>
      <c r="O739" s="228"/>
      <c r="P739" s="227"/>
    </row>
    <row r="740">
      <c r="E740" s="227"/>
      <c r="G740" s="227"/>
      <c r="J740" s="227"/>
      <c r="K740" s="227"/>
      <c r="L740" s="227"/>
      <c r="N740" s="227"/>
      <c r="O740" s="228"/>
      <c r="P740" s="227"/>
    </row>
    <row r="741">
      <c r="E741" s="227"/>
      <c r="G741" s="227"/>
      <c r="J741" s="227"/>
      <c r="K741" s="227"/>
      <c r="L741" s="227"/>
      <c r="N741" s="227"/>
      <c r="O741" s="228"/>
      <c r="P741" s="227"/>
    </row>
    <row r="742">
      <c r="E742" s="227"/>
      <c r="G742" s="227"/>
      <c r="J742" s="227"/>
      <c r="K742" s="227"/>
      <c r="L742" s="227"/>
      <c r="N742" s="227"/>
      <c r="O742" s="228"/>
      <c r="P742" s="227"/>
    </row>
    <row r="743">
      <c r="E743" s="227"/>
      <c r="G743" s="227"/>
      <c r="J743" s="227"/>
      <c r="K743" s="227"/>
      <c r="L743" s="227"/>
      <c r="N743" s="227"/>
      <c r="O743" s="228"/>
      <c r="P743" s="227"/>
    </row>
    <row r="744">
      <c r="E744" s="227"/>
      <c r="G744" s="227"/>
      <c r="J744" s="227"/>
      <c r="K744" s="227"/>
      <c r="L744" s="227"/>
      <c r="N744" s="227"/>
      <c r="O744" s="228"/>
      <c r="P744" s="227"/>
    </row>
    <row r="745">
      <c r="E745" s="227"/>
      <c r="G745" s="227"/>
      <c r="J745" s="227"/>
      <c r="K745" s="227"/>
      <c r="L745" s="227"/>
      <c r="N745" s="227"/>
      <c r="O745" s="228"/>
      <c r="P745" s="227"/>
    </row>
    <row r="746">
      <c r="E746" s="227"/>
      <c r="G746" s="227"/>
      <c r="J746" s="227"/>
      <c r="K746" s="227"/>
      <c r="L746" s="227"/>
      <c r="N746" s="227"/>
      <c r="O746" s="228"/>
      <c r="P746" s="227"/>
    </row>
    <row r="747">
      <c r="E747" s="227"/>
      <c r="G747" s="227"/>
      <c r="J747" s="227"/>
      <c r="K747" s="227"/>
      <c r="L747" s="227"/>
      <c r="N747" s="227"/>
      <c r="O747" s="228"/>
      <c r="P747" s="227"/>
    </row>
    <row r="748">
      <c r="E748" s="227"/>
      <c r="G748" s="227"/>
      <c r="J748" s="227"/>
      <c r="K748" s="227"/>
      <c r="L748" s="227"/>
      <c r="N748" s="227"/>
      <c r="O748" s="228"/>
      <c r="P748" s="227"/>
    </row>
    <row r="749">
      <c r="E749" s="227"/>
      <c r="G749" s="227"/>
      <c r="J749" s="227"/>
      <c r="K749" s="227"/>
      <c r="L749" s="227"/>
      <c r="N749" s="227"/>
      <c r="O749" s="228"/>
      <c r="P749" s="227"/>
    </row>
    <row r="750">
      <c r="E750" s="227"/>
      <c r="G750" s="227"/>
      <c r="J750" s="227"/>
      <c r="K750" s="227"/>
      <c r="L750" s="227"/>
      <c r="N750" s="227"/>
      <c r="O750" s="228"/>
      <c r="P750" s="227"/>
    </row>
    <row r="751">
      <c r="E751" s="227"/>
      <c r="G751" s="227"/>
      <c r="J751" s="227"/>
      <c r="K751" s="227"/>
      <c r="L751" s="227"/>
      <c r="N751" s="227"/>
      <c r="O751" s="228"/>
      <c r="P751" s="227"/>
    </row>
    <row r="752">
      <c r="E752" s="227"/>
      <c r="G752" s="227"/>
      <c r="J752" s="227"/>
      <c r="K752" s="227"/>
      <c r="L752" s="227"/>
      <c r="N752" s="227"/>
      <c r="O752" s="228"/>
      <c r="P752" s="227"/>
    </row>
    <row r="753">
      <c r="E753" s="227"/>
      <c r="G753" s="227"/>
      <c r="J753" s="227"/>
      <c r="K753" s="227"/>
      <c r="L753" s="227"/>
      <c r="N753" s="227"/>
      <c r="O753" s="228"/>
      <c r="P753" s="227"/>
    </row>
    <row r="754">
      <c r="E754" s="227"/>
      <c r="G754" s="227"/>
      <c r="J754" s="227"/>
      <c r="K754" s="227"/>
      <c r="L754" s="227"/>
      <c r="N754" s="227"/>
      <c r="O754" s="228"/>
      <c r="P754" s="227"/>
    </row>
    <row r="755">
      <c r="E755" s="227"/>
      <c r="G755" s="227"/>
      <c r="J755" s="227"/>
      <c r="K755" s="227"/>
      <c r="L755" s="227"/>
      <c r="N755" s="227"/>
      <c r="O755" s="228"/>
      <c r="P755" s="227"/>
    </row>
    <row r="756">
      <c r="E756" s="227"/>
      <c r="G756" s="227"/>
      <c r="J756" s="227"/>
      <c r="K756" s="227"/>
      <c r="L756" s="227"/>
      <c r="N756" s="227"/>
      <c r="O756" s="228"/>
      <c r="P756" s="227"/>
    </row>
    <row r="757">
      <c r="E757" s="227"/>
      <c r="G757" s="227"/>
      <c r="J757" s="227"/>
      <c r="K757" s="227"/>
      <c r="L757" s="227"/>
      <c r="N757" s="227"/>
      <c r="O757" s="228"/>
      <c r="P757" s="227"/>
    </row>
    <row r="758">
      <c r="E758" s="227"/>
      <c r="G758" s="227"/>
      <c r="J758" s="227"/>
      <c r="K758" s="227"/>
      <c r="L758" s="227"/>
      <c r="N758" s="227"/>
      <c r="O758" s="228"/>
      <c r="P758" s="227"/>
    </row>
    <row r="759">
      <c r="E759" s="227"/>
      <c r="G759" s="227"/>
      <c r="J759" s="227"/>
      <c r="K759" s="227"/>
      <c r="L759" s="227"/>
      <c r="N759" s="227"/>
      <c r="O759" s="228"/>
      <c r="P759" s="227"/>
    </row>
    <row r="760">
      <c r="E760" s="227"/>
      <c r="G760" s="227"/>
      <c r="J760" s="227"/>
      <c r="K760" s="227"/>
      <c r="L760" s="227"/>
      <c r="N760" s="227"/>
      <c r="O760" s="228"/>
      <c r="P760" s="227"/>
    </row>
    <row r="761">
      <c r="E761" s="227"/>
      <c r="G761" s="227"/>
      <c r="J761" s="227"/>
      <c r="K761" s="227"/>
      <c r="L761" s="227"/>
      <c r="N761" s="227"/>
      <c r="O761" s="228"/>
      <c r="P761" s="227"/>
    </row>
    <row r="762">
      <c r="E762" s="227"/>
      <c r="G762" s="227"/>
      <c r="J762" s="227"/>
      <c r="K762" s="227"/>
      <c r="L762" s="227"/>
      <c r="N762" s="227"/>
      <c r="O762" s="228"/>
      <c r="P762" s="227"/>
    </row>
    <row r="763">
      <c r="E763" s="227"/>
      <c r="G763" s="227"/>
      <c r="J763" s="227"/>
      <c r="K763" s="227"/>
      <c r="L763" s="227"/>
      <c r="N763" s="227"/>
      <c r="O763" s="228"/>
      <c r="P763" s="227"/>
    </row>
    <row r="764">
      <c r="E764" s="227"/>
      <c r="G764" s="227"/>
      <c r="J764" s="227"/>
      <c r="K764" s="227"/>
      <c r="L764" s="227"/>
      <c r="N764" s="227"/>
      <c r="O764" s="228"/>
      <c r="P764" s="227"/>
    </row>
    <row r="765">
      <c r="E765" s="227"/>
      <c r="G765" s="227"/>
      <c r="J765" s="227"/>
      <c r="K765" s="227"/>
      <c r="L765" s="227"/>
      <c r="N765" s="227"/>
      <c r="O765" s="228"/>
      <c r="P765" s="227"/>
    </row>
    <row r="766">
      <c r="E766" s="227"/>
      <c r="G766" s="227"/>
      <c r="J766" s="227"/>
      <c r="K766" s="227"/>
      <c r="L766" s="227"/>
      <c r="N766" s="227"/>
      <c r="O766" s="228"/>
      <c r="P766" s="227"/>
    </row>
    <row r="767">
      <c r="E767" s="227"/>
      <c r="G767" s="227"/>
      <c r="J767" s="227"/>
      <c r="K767" s="227"/>
      <c r="L767" s="227"/>
      <c r="N767" s="227"/>
      <c r="O767" s="228"/>
      <c r="P767" s="227"/>
    </row>
    <row r="768">
      <c r="E768" s="227"/>
      <c r="G768" s="227"/>
      <c r="J768" s="227"/>
      <c r="K768" s="227"/>
      <c r="L768" s="227"/>
      <c r="N768" s="227"/>
      <c r="O768" s="228"/>
      <c r="P768" s="227"/>
    </row>
    <row r="769">
      <c r="E769" s="227"/>
      <c r="G769" s="227"/>
      <c r="J769" s="227"/>
      <c r="K769" s="227"/>
      <c r="L769" s="227"/>
      <c r="N769" s="227"/>
      <c r="O769" s="228"/>
      <c r="P769" s="227"/>
    </row>
    <row r="770">
      <c r="E770" s="227"/>
      <c r="G770" s="227"/>
      <c r="J770" s="227"/>
      <c r="K770" s="227"/>
      <c r="L770" s="227"/>
      <c r="N770" s="227"/>
      <c r="O770" s="228"/>
      <c r="P770" s="227"/>
    </row>
    <row r="771">
      <c r="E771" s="227"/>
      <c r="G771" s="227"/>
      <c r="J771" s="227"/>
      <c r="K771" s="227"/>
      <c r="L771" s="227"/>
      <c r="N771" s="227"/>
      <c r="O771" s="228"/>
      <c r="P771" s="227"/>
    </row>
    <row r="772">
      <c r="E772" s="227"/>
      <c r="G772" s="227"/>
      <c r="J772" s="227"/>
      <c r="K772" s="227"/>
      <c r="L772" s="227"/>
      <c r="N772" s="227"/>
      <c r="O772" s="228"/>
      <c r="P772" s="227"/>
    </row>
    <row r="773">
      <c r="E773" s="227"/>
      <c r="G773" s="227"/>
      <c r="J773" s="227"/>
      <c r="K773" s="227"/>
      <c r="L773" s="227"/>
      <c r="N773" s="227"/>
      <c r="O773" s="228"/>
      <c r="P773" s="227"/>
    </row>
    <row r="774">
      <c r="E774" s="227"/>
      <c r="G774" s="227"/>
      <c r="J774" s="227"/>
      <c r="K774" s="227"/>
      <c r="L774" s="227"/>
      <c r="N774" s="227"/>
      <c r="O774" s="228"/>
      <c r="P774" s="227"/>
    </row>
    <row r="775">
      <c r="E775" s="227"/>
      <c r="G775" s="227"/>
      <c r="J775" s="227"/>
      <c r="K775" s="227"/>
      <c r="L775" s="227"/>
      <c r="N775" s="227"/>
      <c r="O775" s="228"/>
      <c r="P775" s="227"/>
    </row>
    <row r="776">
      <c r="E776" s="227"/>
      <c r="G776" s="227"/>
      <c r="J776" s="227"/>
      <c r="K776" s="227"/>
      <c r="L776" s="227"/>
      <c r="N776" s="227"/>
      <c r="O776" s="228"/>
      <c r="P776" s="227"/>
    </row>
    <row r="777">
      <c r="E777" s="227"/>
      <c r="G777" s="227"/>
      <c r="J777" s="227"/>
      <c r="K777" s="227"/>
      <c r="L777" s="227"/>
      <c r="N777" s="227"/>
      <c r="O777" s="228"/>
      <c r="P777" s="227"/>
    </row>
    <row r="778">
      <c r="E778" s="227"/>
      <c r="G778" s="227"/>
      <c r="J778" s="227"/>
      <c r="K778" s="227"/>
      <c r="L778" s="227"/>
      <c r="N778" s="227"/>
      <c r="O778" s="228"/>
      <c r="P778" s="227"/>
    </row>
    <row r="779">
      <c r="E779" s="227"/>
      <c r="G779" s="227"/>
      <c r="J779" s="227"/>
      <c r="K779" s="227"/>
      <c r="L779" s="227"/>
      <c r="N779" s="227"/>
      <c r="O779" s="228"/>
      <c r="P779" s="227"/>
    </row>
    <row r="780">
      <c r="E780" s="227"/>
      <c r="G780" s="227"/>
      <c r="J780" s="227"/>
      <c r="K780" s="227"/>
      <c r="L780" s="227"/>
      <c r="N780" s="227"/>
      <c r="O780" s="228"/>
      <c r="P780" s="227"/>
    </row>
    <row r="781">
      <c r="E781" s="227"/>
      <c r="G781" s="227"/>
      <c r="J781" s="227"/>
      <c r="K781" s="227"/>
      <c r="L781" s="227"/>
      <c r="N781" s="227"/>
      <c r="O781" s="228"/>
      <c r="P781" s="227"/>
    </row>
    <row r="782">
      <c r="E782" s="227"/>
      <c r="G782" s="227"/>
      <c r="J782" s="227"/>
      <c r="K782" s="227"/>
      <c r="L782" s="227"/>
      <c r="N782" s="227"/>
      <c r="O782" s="228"/>
      <c r="P782" s="227"/>
    </row>
    <row r="783">
      <c r="E783" s="227"/>
      <c r="G783" s="227"/>
      <c r="J783" s="227"/>
      <c r="K783" s="227"/>
      <c r="L783" s="227"/>
      <c r="N783" s="227"/>
      <c r="O783" s="228"/>
      <c r="P783" s="227"/>
    </row>
    <row r="784">
      <c r="E784" s="227"/>
      <c r="G784" s="227"/>
      <c r="J784" s="227"/>
      <c r="K784" s="227"/>
      <c r="L784" s="227"/>
      <c r="N784" s="227"/>
      <c r="O784" s="228"/>
      <c r="P784" s="227"/>
    </row>
    <row r="785">
      <c r="E785" s="227"/>
      <c r="G785" s="227"/>
      <c r="J785" s="227"/>
      <c r="K785" s="227"/>
      <c r="L785" s="227"/>
      <c r="N785" s="227"/>
      <c r="O785" s="228"/>
      <c r="P785" s="227"/>
    </row>
    <row r="786">
      <c r="E786" s="227"/>
      <c r="G786" s="227"/>
      <c r="J786" s="227"/>
      <c r="K786" s="227"/>
      <c r="L786" s="227"/>
      <c r="N786" s="227"/>
      <c r="O786" s="228"/>
      <c r="P786" s="227"/>
    </row>
    <row r="787">
      <c r="E787" s="227"/>
      <c r="G787" s="227"/>
      <c r="J787" s="227"/>
      <c r="K787" s="227"/>
      <c r="L787" s="227"/>
      <c r="N787" s="227"/>
      <c r="O787" s="228"/>
      <c r="P787" s="227"/>
    </row>
    <row r="788">
      <c r="E788" s="227"/>
      <c r="G788" s="227"/>
      <c r="J788" s="227"/>
      <c r="K788" s="227"/>
      <c r="L788" s="227"/>
      <c r="N788" s="227"/>
      <c r="O788" s="228"/>
      <c r="P788" s="227"/>
    </row>
    <row r="789">
      <c r="E789" s="227"/>
      <c r="G789" s="227"/>
      <c r="J789" s="227"/>
      <c r="K789" s="227"/>
      <c r="L789" s="227"/>
      <c r="N789" s="227"/>
      <c r="O789" s="228"/>
      <c r="P789" s="227"/>
    </row>
    <row r="790">
      <c r="E790" s="227"/>
      <c r="G790" s="227"/>
      <c r="J790" s="227"/>
      <c r="K790" s="227"/>
      <c r="L790" s="227"/>
      <c r="N790" s="227"/>
      <c r="O790" s="228"/>
      <c r="P790" s="227"/>
    </row>
    <row r="791">
      <c r="E791" s="227"/>
      <c r="G791" s="227"/>
      <c r="J791" s="227"/>
      <c r="K791" s="227"/>
      <c r="L791" s="227"/>
      <c r="N791" s="227"/>
      <c r="O791" s="228"/>
      <c r="P791" s="227"/>
    </row>
    <row r="792">
      <c r="E792" s="227"/>
      <c r="G792" s="227"/>
      <c r="J792" s="227"/>
      <c r="K792" s="227"/>
      <c r="L792" s="227"/>
      <c r="N792" s="227"/>
      <c r="O792" s="228"/>
      <c r="P792" s="227"/>
    </row>
    <row r="793">
      <c r="E793" s="227"/>
      <c r="G793" s="227"/>
      <c r="J793" s="227"/>
      <c r="K793" s="227"/>
      <c r="L793" s="227"/>
      <c r="N793" s="227"/>
      <c r="O793" s="228"/>
      <c r="P793" s="227"/>
    </row>
    <row r="794">
      <c r="E794" s="227"/>
      <c r="G794" s="227"/>
      <c r="J794" s="227"/>
      <c r="K794" s="227"/>
      <c r="L794" s="227"/>
      <c r="N794" s="227"/>
      <c r="O794" s="228"/>
      <c r="P794" s="227"/>
    </row>
    <row r="795">
      <c r="E795" s="227"/>
      <c r="G795" s="227"/>
      <c r="J795" s="227"/>
      <c r="K795" s="227"/>
      <c r="L795" s="227"/>
      <c r="N795" s="227"/>
      <c r="O795" s="228"/>
      <c r="P795" s="227"/>
    </row>
    <row r="796">
      <c r="E796" s="227"/>
      <c r="G796" s="227"/>
      <c r="J796" s="227"/>
      <c r="K796" s="227"/>
      <c r="L796" s="227"/>
      <c r="N796" s="227"/>
      <c r="O796" s="228"/>
      <c r="P796" s="227"/>
    </row>
    <row r="797">
      <c r="E797" s="227"/>
      <c r="G797" s="227"/>
      <c r="J797" s="227"/>
      <c r="K797" s="227"/>
      <c r="L797" s="227"/>
      <c r="N797" s="227"/>
      <c r="O797" s="228"/>
      <c r="P797" s="227"/>
    </row>
    <row r="798">
      <c r="E798" s="227"/>
      <c r="G798" s="227"/>
      <c r="J798" s="227"/>
      <c r="K798" s="227"/>
      <c r="L798" s="227"/>
      <c r="N798" s="227"/>
      <c r="O798" s="228"/>
      <c r="P798" s="227"/>
    </row>
    <row r="799">
      <c r="E799" s="227"/>
      <c r="G799" s="227"/>
      <c r="J799" s="227"/>
      <c r="K799" s="227"/>
      <c r="L799" s="227"/>
      <c r="N799" s="227"/>
      <c r="O799" s="228"/>
      <c r="P799" s="227"/>
    </row>
    <row r="800">
      <c r="E800" s="227"/>
      <c r="G800" s="227"/>
      <c r="J800" s="227"/>
      <c r="K800" s="227"/>
      <c r="L800" s="227"/>
      <c r="N800" s="227"/>
      <c r="O800" s="228"/>
      <c r="P800" s="227"/>
    </row>
    <row r="801">
      <c r="E801" s="227"/>
      <c r="G801" s="227"/>
      <c r="J801" s="227"/>
      <c r="K801" s="227"/>
      <c r="L801" s="227"/>
      <c r="N801" s="227"/>
      <c r="O801" s="228"/>
      <c r="P801" s="227"/>
    </row>
    <row r="802">
      <c r="E802" s="227"/>
      <c r="G802" s="227"/>
      <c r="J802" s="227"/>
      <c r="K802" s="227"/>
      <c r="L802" s="227"/>
      <c r="N802" s="227"/>
      <c r="O802" s="228"/>
      <c r="P802" s="227"/>
    </row>
    <row r="803">
      <c r="E803" s="227"/>
      <c r="G803" s="227"/>
      <c r="J803" s="227"/>
      <c r="K803" s="227"/>
      <c r="L803" s="227"/>
      <c r="N803" s="227"/>
      <c r="O803" s="228"/>
      <c r="P803" s="227"/>
    </row>
    <row r="804">
      <c r="E804" s="227"/>
      <c r="G804" s="227"/>
      <c r="J804" s="227"/>
      <c r="K804" s="227"/>
      <c r="L804" s="227"/>
      <c r="N804" s="227"/>
      <c r="O804" s="228"/>
      <c r="P804" s="227"/>
    </row>
    <row r="805">
      <c r="E805" s="227"/>
      <c r="G805" s="227"/>
      <c r="J805" s="227"/>
      <c r="K805" s="227"/>
      <c r="L805" s="227"/>
      <c r="N805" s="227"/>
      <c r="O805" s="228"/>
      <c r="P805" s="227"/>
    </row>
    <row r="806">
      <c r="E806" s="227"/>
      <c r="G806" s="227"/>
      <c r="J806" s="227"/>
      <c r="K806" s="227"/>
      <c r="L806" s="227"/>
      <c r="N806" s="227"/>
      <c r="O806" s="228"/>
      <c r="P806" s="227"/>
    </row>
    <row r="807">
      <c r="E807" s="227"/>
      <c r="G807" s="227"/>
      <c r="J807" s="227"/>
      <c r="K807" s="227"/>
      <c r="L807" s="227"/>
      <c r="N807" s="227"/>
      <c r="O807" s="228"/>
      <c r="P807" s="227"/>
    </row>
    <row r="808">
      <c r="E808" s="227"/>
      <c r="G808" s="227"/>
      <c r="J808" s="227"/>
      <c r="K808" s="227"/>
      <c r="L808" s="227"/>
      <c r="N808" s="227"/>
      <c r="O808" s="228"/>
      <c r="P808" s="227"/>
    </row>
    <row r="809">
      <c r="E809" s="227"/>
      <c r="G809" s="227"/>
      <c r="J809" s="227"/>
      <c r="K809" s="227"/>
      <c r="L809" s="227"/>
      <c r="N809" s="227"/>
      <c r="O809" s="228"/>
      <c r="P809" s="227"/>
    </row>
    <row r="810">
      <c r="E810" s="227"/>
      <c r="G810" s="227"/>
      <c r="J810" s="227"/>
      <c r="K810" s="227"/>
      <c r="L810" s="227"/>
      <c r="N810" s="227"/>
      <c r="O810" s="228"/>
      <c r="P810" s="227"/>
    </row>
    <row r="811">
      <c r="E811" s="227"/>
      <c r="G811" s="227"/>
      <c r="J811" s="227"/>
      <c r="K811" s="227"/>
      <c r="L811" s="227"/>
      <c r="N811" s="227"/>
      <c r="O811" s="228"/>
      <c r="P811" s="227"/>
    </row>
    <row r="812">
      <c r="E812" s="227"/>
      <c r="G812" s="227"/>
      <c r="J812" s="227"/>
      <c r="K812" s="227"/>
      <c r="L812" s="227"/>
      <c r="N812" s="227"/>
      <c r="O812" s="228"/>
      <c r="P812" s="227"/>
    </row>
    <row r="813">
      <c r="E813" s="227"/>
      <c r="G813" s="227"/>
      <c r="J813" s="227"/>
      <c r="K813" s="227"/>
      <c r="L813" s="227"/>
      <c r="N813" s="227"/>
      <c r="O813" s="228"/>
      <c r="P813" s="227"/>
    </row>
    <row r="814">
      <c r="E814" s="227"/>
      <c r="G814" s="227"/>
      <c r="J814" s="227"/>
      <c r="K814" s="227"/>
      <c r="L814" s="227"/>
      <c r="N814" s="227"/>
      <c r="O814" s="228"/>
      <c r="P814" s="227"/>
    </row>
    <row r="815">
      <c r="E815" s="227"/>
      <c r="G815" s="227"/>
      <c r="J815" s="227"/>
      <c r="K815" s="227"/>
      <c r="L815" s="227"/>
      <c r="N815" s="227"/>
      <c r="O815" s="228"/>
      <c r="P815" s="227"/>
    </row>
    <row r="816">
      <c r="E816" s="227"/>
      <c r="G816" s="227"/>
      <c r="J816" s="227"/>
      <c r="K816" s="227"/>
      <c r="L816" s="227"/>
      <c r="N816" s="227"/>
      <c r="O816" s="228"/>
      <c r="P816" s="227"/>
    </row>
    <row r="817">
      <c r="E817" s="227"/>
      <c r="G817" s="227"/>
      <c r="J817" s="227"/>
      <c r="K817" s="227"/>
      <c r="L817" s="227"/>
      <c r="N817" s="227"/>
      <c r="O817" s="228"/>
      <c r="P817" s="227"/>
    </row>
    <row r="818">
      <c r="E818" s="227"/>
      <c r="G818" s="227"/>
      <c r="J818" s="227"/>
      <c r="K818" s="227"/>
      <c r="L818" s="227"/>
      <c r="N818" s="227"/>
      <c r="O818" s="228"/>
      <c r="P818" s="227"/>
    </row>
    <row r="819">
      <c r="E819" s="227"/>
      <c r="G819" s="227"/>
      <c r="J819" s="227"/>
      <c r="K819" s="227"/>
      <c r="L819" s="227"/>
      <c r="N819" s="227"/>
      <c r="O819" s="228"/>
      <c r="P819" s="227"/>
    </row>
    <row r="820">
      <c r="E820" s="227"/>
      <c r="G820" s="227"/>
      <c r="J820" s="227"/>
      <c r="K820" s="227"/>
      <c r="L820" s="227"/>
      <c r="N820" s="227"/>
      <c r="O820" s="228"/>
      <c r="P820" s="227"/>
    </row>
    <row r="821">
      <c r="E821" s="227"/>
      <c r="G821" s="227"/>
      <c r="J821" s="227"/>
      <c r="K821" s="227"/>
      <c r="L821" s="227"/>
      <c r="N821" s="227"/>
      <c r="O821" s="228"/>
      <c r="P821" s="227"/>
    </row>
    <row r="822">
      <c r="E822" s="227"/>
      <c r="G822" s="227"/>
      <c r="J822" s="227"/>
      <c r="K822" s="227"/>
      <c r="L822" s="227"/>
      <c r="N822" s="227"/>
      <c r="O822" s="228"/>
      <c r="P822" s="227"/>
    </row>
    <row r="823">
      <c r="E823" s="227"/>
      <c r="G823" s="227"/>
      <c r="J823" s="227"/>
      <c r="K823" s="227"/>
      <c r="L823" s="227"/>
      <c r="N823" s="227"/>
      <c r="O823" s="228"/>
      <c r="P823" s="227"/>
    </row>
    <row r="824">
      <c r="E824" s="227"/>
      <c r="G824" s="227"/>
      <c r="J824" s="227"/>
      <c r="K824" s="227"/>
      <c r="L824" s="227"/>
      <c r="N824" s="227"/>
      <c r="O824" s="228"/>
      <c r="P824" s="227"/>
    </row>
    <row r="825">
      <c r="E825" s="227"/>
      <c r="G825" s="227"/>
      <c r="J825" s="227"/>
      <c r="K825" s="227"/>
      <c r="L825" s="227"/>
      <c r="N825" s="227"/>
      <c r="O825" s="228"/>
      <c r="P825" s="227"/>
    </row>
    <row r="826">
      <c r="E826" s="227"/>
      <c r="G826" s="227"/>
      <c r="J826" s="227"/>
      <c r="K826" s="227"/>
      <c r="L826" s="227"/>
      <c r="N826" s="227"/>
      <c r="O826" s="228"/>
      <c r="P826" s="227"/>
    </row>
    <row r="827">
      <c r="E827" s="227"/>
      <c r="G827" s="227"/>
      <c r="J827" s="227"/>
      <c r="K827" s="227"/>
      <c r="L827" s="227"/>
      <c r="N827" s="227"/>
      <c r="O827" s="228"/>
      <c r="P827" s="227"/>
    </row>
    <row r="828">
      <c r="E828" s="227"/>
      <c r="G828" s="227"/>
      <c r="J828" s="227"/>
      <c r="K828" s="227"/>
      <c r="L828" s="227"/>
      <c r="N828" s="227"/>
      <c r="O828" s="228"/>
      <c r="P828" s="227"/>
    </row>
    <row r="829">
      <c r="E829" s="227"/>
      <c r="G829" s="227"/>
      <c r="J829" s="227"/>
      <c r="K829" s="227"/>
      <c r="L829" s="227"/>
      <c r="N829" s="227"/>
      <c r="O829" s="228"/>
      <c r="P829" s="227"/>
    </row>
    <row r="830">
      <c r="E830" s="227"/>
      <c r="G830" s="227"/>
      <c r="J830" s="227"/>
      <c r="K830" s="227"/>
      <c r="L830" s="227"/>
      <c r="N830" s="227"/>
      <c r="O830" s="228"/>
      <c r="P830" s="227"/>
    </row>
    <row r="831">
      <c r="E831" s="227"/>
      <c r="G831" s="227"/>
      <c r="J831" s="227"/>
      <c r="K831" s="227"/>
      <c r="L831" s="227"/>
      <c r="N831" s="227"/>
      <c r="O831" s="228"/>
      <c r="P831" s="227"/>
    </row>
    <row r="832">
      <c r="E832" s="227"/>
      <c r="G832" s="227"/>
      <c r="J832" s="227"/>
      <c r="K832" s="227"/>
      <c r="L832" s="227"/>
      <c r="N832" s="227"/>
      <c r="O832" s="228"/>
      <c r="P832" s="227"/>
    </row>
    <row r="833">
      <c r="E833" s="227"/>
      <c r="G833" s="227"/>
      <c r="J833" s="227"/>
      <c r="K833" s="227"/>
      <c r="L833" s="227"/>
      <c r="N833" s="227"/>
      <c r="O833" s="228"/>
      <c r="P833" s="227"/>
    </row>
    <row r="834">
      <c r="E834" s="227"/>
      <c r="G834" s="227"/>
      <c r="J834" s="227"/>
      <c r="K834" s="227"/>
      <c r="L834" s="227"/>
      <c r="N834" s="227"/>
      <c r="O834" s="228"/>
      <c r="P834" s="227"/>
    </row>
    <row r="835">
      <c r="E835" s="227"/>
      <c r="G835" s="227"/>
      <c r="J835" s="227"/>
      <c r="K835" s="227"/>
      <c r="L835" s="227"/>
      <c r="N835" s="227"/>
      <c r="O835" s="228"/>
      <c r="P835" s="227"/>
    </row>
    <row r="836">
      <c r="E836" s="227"/>
      <c r="G836" s="227"/>
      <c r="J836" s="227"/>
      <c r="K836" s="227"/>
      <c r="L836" s="227"/>
      <c r="N836" s="227"/>
      <c r="O836" s="228"/>
      <c r="P836" s="227"/>
    </row>
    <row r="837">
      <c r="E837" s="227"/>
      <c r="G837" s="227"/>
      <c r="J837" s="227"/>
      <c r="K837" s="227"/>
      <c r="L837" s="227"/>
      <c r="N837" s="227"/>
      <c r="O837" s="228"/>
      <c r="P837" s="227"/>
    </row>
    <row r="838">
      <c r="E838" s="227"/>
      <c r="G838" s="227"/>
      <c r="J838" s="227"/>
      <c r="K838" s="227"/>
      <c r="L838" s="227"/>
      <c r="N838" s="227"/>
      <c r="O838" s="228"/>
      <c r="P838" s="227"/>
    </row>
    <row r="839">
      <c r="E839" s="227"/>
      <c r="G839" s="227"/>
      <c r="J839" s="227"/>
      <c r="K839" s="227"/>
      <c r="L839" s="227"/>
      <c r="N839" s="227"/>
      <c r="O839" s="228"/>
      <c r="P839" s="227"/>
    </row>
    <row r="840">
      <c r="E840" s="227"/>
      <c r="G840" s="227"/>
      <c r="J840" s="227"/>
      <c r="K840" s="227"/>
      <c r="L840" s="227"/>
      <c r="N840" s="227"/>
      <c r="O840" s="228"/>
      <c r="P840" s="227"/>
    </row>
    <row r="841">
      <c r="E841" s="227"/>
      <c r="G841" s="227"/>
      <c r="J841" s="227"/>
      <c r="K841" s="227"/>
      <c r="L841" s="227"/>
      <c r="N841" s="227"/>
      <c r="O841" s="228"/>
      <c r="P841" s="227"/>
    </row>
    <row r="842">
      <c r="E842" s="227"/>
      <c r="G842" s="227"/>
      <c r="J842" s="227"/>
      <c r="K842" s="227"/>
      <c r="L842" s="227"/>
      <c r="N842" s="227"/>
      <c r="O842" s="228"/>
      <c r="P842" s="227"/>
    </row>
    <row r="843">
      <c r="E843" s="227"/>
      <c r="G843" s="227"/>
      <c r="J843" s="227"/>
      <c r="K843" s="227"/>
      <c r="L843" s="227"/>
      <c r="N843" s="227"/>
      <c r="O843" s="228"/>
      <c r="P843" s="227"/>
    </row>
    <row r="844">
      <c r="E844" s="227"/>
      <c r="G844" s="227"/>
      <c r="J844" s="227"/>
      <c r="K844" s="227"/>
      <c r="L844" s="227"/>
      <c r="N844" s="227"/>
      <c r="O844" s="228"/>
      <c r="P844" s="227"/>
    </row>
    <row r="845">
      <c r="E845" s="227"/>
      <c r="G845" s="227"/>
      <c r="J845" s="227"/>
      <c r="K845" s="227"/>
      <c r="L845" s="227"/>
      <c r="N845" s="227"/>
      <c r="O845" s="228"/>
      <c r="P845" s="227"/>
    </row>
    <row r="846">
      <c r="E846" s="227"/>
      <c r="G846" s="227"/>
      <c r="J846" s="227"/>
      <c r="K846" s="227"/>
      <c r="L846" s="227"/>
      <c r="N846" s="227"/>
      <c r="O846" s="228"/>
      <c r="P846" s="227"/>
    </row>
    <row r="847">
      <c r="E847" s="227"/>
      <c r="G847" s="227"/>
      <c r="J847" s="227"/>
      <c r="K847" s="227"/>
      <c r="L847" s="227"/>
      <c r="N847" s="227"/>
      <c r="O847" s="228"/>
      <c r="P847" s="227"/>
    </row>
    <row r="848">
      <c r="E848" s="227"/>
      <c r="G848" s="227"/>
      <c r="J848" s="227"/>
      <c r="K848" s="227"/>
      <c r="L848" s="227"/>
      <c r="N848" s="227"/>
      <c r="O848" s="228"/>
      <c r="P848" s="227"/>
    </row>
    <row r="849">
      <c r="E849" s="227"/>
      <c r="G849" s="227"/>
      <c r="J849" s="227"/>
      <c r="K849" s="227"/>
      <c r="L849" s="227"/>
      <c r="N849" s="227"/>
      <c r="O849" s="228"/>
      <c r="P849" s="227"/>
    </row>
    <row r="850">
      <c r="E850" s="227"/>
      <c r="G850" s="227"/>
      <c r="J850" s="227"/>
      <c r="K850" s="227"/>
      <c r="L850" s="227"/>
      <c r="N850" s="227"/>
      <c r="O850" s="228"/>
      <c r="P850" s="227"/>
    </row>
    <row r="851">
      <c r="E851" s="227"/>
      <c r="G851" s="227"/>
      <c r="J851" s="227"/>
      <c r="K851" s="227"/>
      <c r="L851" s="227"/>
      <c r="N851" s="227"/>
      <c r="O851" s="228"/>
      <c r="P851" s="227"/>
    </row>
    <row r="852">
      <c r="E852" s="227"/>
      <c r="G852" s="227"/>
      <c r="J852" s="227"/>
      <c r="K852" s="227"/>
      <c r="L852" s="227"/>
      <c r="N852" s="227"/>
      <c r="O852" s="228"/>
      <c r="P852" s="227"/>
    </row>
    <row r="853">
      <c r="E853" s="227"/>
      <c r="G853" s="227"/>
      <c r="J853" s="227"/>
      <c r="K853" s="227"/>
      <c r="L853" s="227"/>
      <c r="N853" s="227"/>
      <c r="O853" s="228"/>
      <c r="P853" s="227"/>
    </row>
    <row r="854">
      <c r="E854" s="227"/>
      <c r="G854" s="227"/>
      <c r="J854" s="227"/>
      <c r="K854" s="227"/>
      <c r="L854" s="227"/>
      <c r="N854" s="227"/>
      <c r="O854" s="228"/>
      <c r="P854" s="227"/>
    </row>
    <row r="855">
      <c r="E855" s="227"/>
      <c r="G855" s="227"/>
      <c r="J855" s="227"/>
      <c r="K855" s="227"/>
      <c r="L855" s="227"/>
      <c r="N855" s="227"/>
      <c r="O855" s="228"/>
      <c r="P855" s="227"/>
    </row>
    <row r="856">
      <c r="E856" s="227"/>
      <c r="G856" s="227"/>
      <c r="J856" s="227"/>
      <c r="K856" s="227"/>
      <c r="L856" s="227"/>
      <c r="N856" s="227"/>
      <c r="O856" s="228"/>
      <c r="P856" s="227"/>
    </row>
    <row r="857">
      <c r="E857" s="227"/>
      <c r="G857" s="227"/>
      <c r="J857" s="227"/>
      <c r="K857" s="227"/>
      <c r="L857" s="227"/>
      <c r="N857" s="227"/>
      <c r="O857" s="228"/>
      <c r="P857" s="227"/>
    </row>
    <row r="858">
      <c r="E858" s="227"/>
      <c r="G858" s="227"/>
      <c r="J858" s="227"/>
      <c r="K858" s="227"/>
      <c r="L858" s="227"/>
      <c r="N858" s="227"/>
      <c r="O858" s="228"/>
      <c r="P858" s="227"/>
    </row>
    <row r="859">
      <c r="E859" s="227"/>
      <c r="G859" s="227"/>
      <c r="J859" s="227"/>
      <c r="K859" s="227"/>
      <c r="L859" s="227"/>
      <c r="N859" s="227"/>
      <c r="O859" s="228"/>
      <c r="P859" s="227"/>
    </row>
    <row r="860">
      <c r="E860" s="227"/>
      <c r="G860" s="227"/>
      <c r="J860" s="227"/>
      <c r="K860" s="227"/>
      <c r="L860" s="227"/>
      <c r="N860" s="227"/>
      <c r="O860" s="228"/>
      <c r="P860" s="227"/>
    </row>
    <row r="861">
      <c r="E861" s="227"/>
      <c r="G861" s="227"/>
      <c r="J861" s="227"/>
      <c r="K861" s="227"/>
      <c r="L861" s="227"/>
      <c r="N861" s="227"/>
      <c r="O861" s="228"/>
      <c r="P861" s="227"/>
    </row>
    <row r="862">
      <c r="E862" s="227"/>
      <c r="G862" s="227"/>
      <c r="J862" s="227"/>
      <c r="K862" s="227"/>
      <c r="L862" s="227"/>
      <c r="N862" s="227"/>
      <c r="O862" s="228"/>
      <c r="P862" s="227"/>
    </row>
    <row r="863">
      <c r="E863" s="227"/>
      <c r="G863" s="227"/>
      <c r="J863" s="227"/>
      <c r="K863" s="227"/>
      <c r="L863" s="227"/>
      <c r="N863" s="227"/>
      <c r="O863" s="228"/>
      <c r="P863" s="227"/>
    </row>
    <row r="864">
      <c r="E864" s="227"/>
      <c r="G864" s="227"/>
      <c r="J864" s="227"/>
      <c r="K864" s="227"/>
      <c r="L864" s="227"/>
      <c r="N864" s="227"/>
      <c r="O864" s="228"/>
      <c r="P864" s="227"/>
    </row>
    <row r="865">
      <c r="E865" s="227"/>
      <c r="G865" s="227"/>
      <c r="J865" s="227"/>
      <c r="K865" s="227"/>
      <c r="L865" s="227"/>
      <c r="N865" s="227"/>
      <c r="O865" s="228"/>
      <c r="P865" s="227"/>
    </row>
    <row r="866">
      <c r="E866" s="227"/>
      <c r="G866" s="227"/>
      <c r="J866" s="227"/>
      <c r="K866" s="227"/>
      <c r="L866" s="227"/>
      <c r="N866" s="227"/>
      <c r="O866" s="228"/>
      <c r="P866" s="227"/>
    </row>
    <row r="867">
      <c r="E867" s="227"/>
      <c r="G867" s="227"/>
      <c r="J867" s="227"/>
      <c r="K867" s="227"/>
      <c r="L867" s="227"/>
      <c r="N867" s="227"/>
      <c r="O867" s="228"/>
      <c r="P867" s="227"/>
    </row>
    <row r="868">
      <c r="E868" s="227"/>
      <c r="G868" s="227"/>
      <c r="J868" s="227"/>
      <c r="K868" s="227"/>
      <c r="L868" s="227"/>
      <c r="N868" s="227"/>
      <c r="O868" s="228"/>
      <c r="P868" s="227"/>
    </row>
    <row r="869">
      <c r="E869" s="227"/>
      <c r="G869" s="227"/>
      <c r="J869" s="227"/>
      <c r="K869" s="227"/>
      <c r="L869" s="227"/>
      <c r="N869" s="227"/>
      <c r="O869" s="228"/>
      <c r="P869" s="227"/>
    </row>
    <row r="870">
      <c r="E870" s="227"/>
      <c r="G870" s="227"/>
      <c r="J870" s="227"/>
      <c r="K870" s="227"/>
      <c r="L870" s="227"/>
      <c r="N870" s="227"/>
      <c r="O870" s="228"/>
      <c r="P870" s="227"/>
    </row>
    <row r="871">
      <c r="E871" s="227"/>
      <c r="G871" s="227"/>
      <c r="J871" s="227"/>
      <c r="K871" s="227"/>
      <c r="L871" s="227"/>
      <c r="N871" s="227"/>
      <c r="O871" s="228"/>
      <c r="P871" s="227"/>
    </row>
    <row r="872">
      <c r="E872" s="227"/>
      <c r="G872" s="227"/>
      <c r="J872" s="227"/>
      <c r="K872" s="227"/>
      <c r="L872" s="227"/>
      <c r="N872" s="227"/>
      <c r="O872" s="228"/>
      <c r="P872" s="227"/>
    </row>
    <row r="873">
      <c r="E873" s="227"/>
      <c r="G873" s="227"/>
      <c r="J873" s="227"/>
      <c r="K873" s="227"/>
      <c r="L873" s="227"/>
      <c r="N873" s="227"/>
      <c r="O873" s="228"/>
      <c r="P873" s="227"/>
    </row>
    <row r="874">
      <c r="E874" s="227"/>
      <c r="G874" s="227"/>
      <c r="J874" s="227"/>
      <c r="K874" s="227"/>
      <c r="L874" s="227"/>
      <c r="N874" s="227"/>
      <c r="O874" s="228"/>
      <c r="P874" s="227"/>
    </row>
    <row r="875">
      <c r="E875" s="227"/>
      <c r="G875" s="227"/>
      <c r="J875" s="227"/>
      <c r="K875" s="227"/>
      <c r="L875" s="227"/>
      <c r="N875" s="227"/>
      <c r="O875" s="228"/>
      <c r="P875" s="227"/>
    </row>
    <row r="876">
      <c r="E876" s="227"/>
      <c r="G876" s="227"/>
      <c r="J876" s="227"/>
      <c r="K876" s="227"/>
      <c r="L876" s="227"/>
      <c r="N876" s="227"/>
      <c r="O876" s="228"/>
      <c r="P876" s="227"/>
    </row>
    <row r="877">
      <c r="E877" s="227"/>
      <c r="G877" s="227"/>
      <c r="J877" s="227"/>
      <c r="K877" s="227"/>
      <c r="L877" s="227"/>
      <c r="N877" s="227"/>
      <c r="O877" s="228"/>
      <c r="P877" s="227"/>
    </row>
    <row r="878">
      <c r="E878" s="227"/>
      <c r="G878" s="227"/>
      <c r="J878" s="227"/>
      <c r="K878" s="227"/>
      <c r="L878" s="227"/>
      <c r="N878" s="227"/>
      <c r="O878" s="228"/>
      <c r="P878" s="227"/>
    </row>
    <row r="879">
      <c r="E879" s="227"/>
      <c r="G879" s="227"/>
      <c r="J879" s="227"/>
      <c r="K879" s="227"/>
      <c r="L879" s="227"/>
      <c r="N879" s="227"/>
      <c r="O879" s="228"/>
      <c r="P879" s="227"/>
    </row>
    <row r="880">
      <c r="E880" s="227"/>
      <c r="G880" s="227"/>
      <c r="J880" s="227"/>
      <c r="K880" s="227"/>
      <c r="L880" s="227"/>
      <c r="N880" s="227"/>
      <c r="O880" s="228"/>
      <c r="P880" s="227"/>
    </row>
    <row r="881">
      <c r="E881" s="227"/>
      <c r="G881" s="227"/>
      <c r="J881" s="227"/>
      <c r="K881" s="227"/>
      <c r="L881" s="227"/>
      <c r="N881" s="227"/>
      <c r="O881" s="228"/>
      <c r="P881" s="227"/>
    </row>
    <row r="882">
      <c r="E882" s="227"/>
      <c r="G882" s="227"/>
      <c r="J882" s="227"/>
      <c r="K882" s="227"/>
      <c r="L882" s="227"/>
      <c r="N882" s="227"/>
      <c r="O882" s="228"/>
      <c r="P882" s="227"/>
    </row>
    <row r="883">
      <c r="E883" s="227"/>
      <c r="G883" s="227"/>
      <c r="J883" s="227"/>
      <c r="K883" s="227"/>
      <c r="L883" s="227"/>
      <c r="N883" s="227"/>
      <c r="O883" s="228"/>
      <c r="P883" s="227"/>
    </row>
    <row r="884">
      <c r="E884" s="227"/>
      <c r="G884" s="227"/>
      <c r="J884" s="227"/>
      <c r="K884" s="227"/>
      <c r="L884" s="227"/>
      <c r="N884" s="227"/>
      <c r="O884" s="228"/>
      <c r="P884" s="227"/>
    </row>
    <row r="885">
      <c r="E885" s="227"/>
      <c r="G885" s="227"/>
      <c r="J885" s="227"/>
      <c r="K885" s="227"/>
      <c r="L885" s="227"/>
      <c r="N885" s="227"/>
      <c r="O885" s="228"/>
      <c r="P885" s="227"/>
    </row>
    <row r="886">
      <c r="E886" s="227"/>
      <c r="G886" s="227"/>
      <c r="J886" s="227"/>
      <c r="K886" s="227"/>
      <c r="L886" s="227"/>
      <c r="N886" s="227"/>
      <c r="O886" s="228"/>
      <c r="P886" s="227"/>
    </row>
    <row r="887">
      <c r="E887" s="227"/>
      <c r="G887" s="227"/>
      <c r="J887" s="227"/>
      <c r="K887" s="227"/>
      <c r="L887" s="227"/>
      <c r="N887" s="227"/>
      <c r="O887" s="228"/>
      <c r="P887" s="227"/>
    </row>
    <row r="888">
      <c r="E888" s="227"/>
      <c r="G888" s="227"/>
      <c r="J888" s="227"/>
      <c r="K888" s="227"/>
      <c r="L888" s="227"/>
      <c r="N888" s="227"/>
      <c r="O888" s="228"/>
      <c r="P888" s="227"/>
    </row>
    <row r="889">
      <c r="E889" s="227"/>
      <c r="G889" s="227"/>
      <c r="J889" s="227"/>
      <c r="K889" s="227"/>
      <c r="L889" s="227"/>
      <c r="N889" s="227"/>
      <c r="O889" s="228"/>
      <c r="P889" s="227"/>
    </row>
    <row r="890">
      <c r="E890" s="227"/>
      <c r="G890" s="227"/>
      <c r="J890" s="227"/>
      <c r="K890" s="227"/>
      <c r="L890" s="227"/>
      <c r="N890" s="227"/>
      <c r="O890" s="228"/>
      <c r="P890" s="227"/>
    </row>
    <row r="891">
      <c r="E891" s="227"/>
      <c r="G891" s="227"/>
      <c r="J891" s="227"/>
      <c r="K891" s="227"/>
      <c r="L891" s="227"/>
      <c r="N891" s="227"/>
      <c r="O891" s="228"/>
      <c r="P891" s="227"/>
    </row>
    <row r="892">
      <c r="E892" s="227"/>
      <c r="G892" s="227"/>
      <c r="J892" s="227"/>
      <c r="K892" s="227"/>
      <c r="L892" s="227"/>
      <c r="N892" s="227"/>
      <c r="O892" s="228"/>
      <c r="P892" s="227"/>
    </row>
    <row r="893">
      <c r="E893" s="227"/>
      <c r="G893" s="227"/>
      <c r="J893" s="227"/>
      <c r="K893" s="227"/>
      <c r="L893" s="227"/>
      <c r="N893" s="227"/>
      <c r="O893" s="228"/>
      <c r="P893" s="227"/>
    </row>
    <row r="894">
      <c r="E894" s="227"/>
      <c r="G894" s="227"/>
      <c r="J894" s="227"/>
      <c r="K894" s="227"/>
      <c r="L894" s="227"/>
      <c r="N894" s="227"/>
      <c r="O894" s="228"/>
      <c r="P894" s="227"/>
    </row>
    <row r="895">
      <c r="E895" s="227"/>
      <c r="G895" s="227"/>
      <c r="J895" s="227"/>
      <c r="K895" s="227"/>
      <c r="L895" s="227"/>
      <c r="N895" s="227"/>
      <c r="O895" s="228"/>
      <c r="P895" s="227"/>
    </row>
    <row r="896">
      <c r="E896" s="227"/>
      <c r="G896" s="227"/>
      <c r="J896" s="227"/>
      <c r="K896" s="227"/>
      <c r="L896" s="227"/>
      <c r="N896" s="227"/>
      <c r="O896" s="228"/>
      <c r="P896" s="227"/>
    </row>
    <row r="897">
      <c r="E897" s="227"/>
      <c r="G897" s="227"/>
      <c r="J897" s="227"/>
      <c r="K897" s="227"/>
      <c r="L897" s="227"/>
      <c r="N897" s="227"/>
      <c r="O897" s="228"/>
      <c r="P897" s="227"/>
    </row>
    <row r="898">
      <c r="E898" s="227"/>
      <c r="G898" s="227"/>
      <c r="J898" s="227"/>
      <c r="K898" s="227"/>
      <c r="L898" s="227"/>
      <c r="N898" s="227"/>
      <c r="O898" s="228"/>
      <c r="P898" s="227"/>
    </row>
    <row r="899">
      <c r="E899" s="227"/>
      <c r="G899" s="227"/>
      <c r="J899" s="227"/>
      <c r="K899" s="227"/>
      <c r="L899" s="227"/>
      <c r="N899" s="227"/>
      <c r="O899" s="228"/>
      <c r="P899" s="227"/>
    </row>
    <row r="900">
      <c r="E900" s="227"/>
      <c r="G900" s="227"/>
      <c r="J900" s="227"/>
      <c r="K900" s="227"/>
      <c r="L900" s="227"/>
      <c r="N900" s="227"/>
      <c r="O900" s="228"/>
      <c r="P900" s="227"/>
    </row>
    <row r="901">
      <c r="E901" s="227"/>
      <c r="G901" s="227"/>
      <c r="J901" s="227"/>
      <c r="K901" s="227"/>
      <c r="L901" s="227"/>
      <c r="N901" s="227"/>
      <c r="O901" s="228"/>
      <c r="P901" s="227"/>
    </row>
    <row r="902">
      <c r="E902" s="227"/>
      <c r="G902" s="227"/>
      <c r="J902" s="227"/>
      <c r="K902" s="227"/>
      <c r="L902" s="227"/>
      <c r="N902" s="227"/>
      <c r="O902" s="228"/>
      <c r="P902" s="227"/>
    </row>
    <row r="903">
      <c r="E903" s="227"/>
      <c r="G903" s="227"/>
      <c r="J903" s="227"/>
      <c r="K903" s="227"/>
      <c r="L903" s="227"/>
      <c r="N903" s="227"/>
      <c r="O903" s="228"/>
      <c r="P903" s="227"/>
    </row>
    <row r="904">
      <c r="E904" s="227"/>
      <c r="G904" s="227"/>
      <c r="J904" s="227"/>
      <c r="K904" s="227"/>
      <c r="L904" s="227"/>
      <c r="N904" s="227"/>
      <c r="O904" s="228"/>
      <c r="P904" s="227"/>
    </row>
    <row r="905">
      <c r="E905" s="227"/>
      <c r="G905" s="227"/>
      <c r="J905" s="227"/>
      <c r="K905" s="227"/>
      <c r="L905" s="227"/>
      <c r="N905" s="227"/>
      <c r="O905" s="228"/>
      <c r="P905" s="227"/>
    </row>
    <row r="906">
      <c r="E906" s="227"/>
      <c r="G906" s="227"/>
      <c r="J906" s="227"/>
      <c r="K906" s="227"/>
      <c r="L906" s="227"/>
      <c r="N906" s="227"/>
      <c r="O906" s="228"/>
      <c r="P906" s="227"/>
    </row>
    <row r="907">
      <c r="E907" s="227"/>
      <c r="G907" s="227"/>
      <c r="J907" s="227"/>
      <c r="K907" s="227"/>
      <c r="L907" s="227"/>
      <c r="N907" s="227"/>
      <c r="O907" s="228"/>
      <c r="P907" s="227"/>
    </row>
    <row r="908">
      <c r="E908" s="227"/>
      <c r="G908" s="227"/>
      <c r="J908" s="227"/>
      <c r="K908" s="227"/>
      <c r="L908" s="227"/>
      <c r="N908" s="227"/>
      <c r="O908" s="228"/>
      <c r="P908" s="227"/>
    </row>
    <row r="909">
      <c r="E909" s="227"/>
      <c r="G909" s="227"/>
      <c r="J909" s="227"/>
      <c r="K909" s="227"/>
      <c r="L909" s="227"/>
      <c r="N909" s="227"/>
      <c r="O909" s="228"/>
      <c r="P909" s="227"/>
    </row>
    <row r="910">
      <c r="E910" s="227"/>
      <c r="G910" s="227"/>
      <c r="J910" s="227"/>
      <c r="K910" s="227"/>
      <c r="L910" s="227"/>
      <c r="N910" s="227"/>
      <c r="O910" s="228"/>
      <c r="P910" s="227"/>
    </row>
    <row r="911">
      <c r="E911" s="227"/>
      <c r="G911" s="227"/>
      <c r="J911" s="227"/>
      <c r="K911" s="227"/>
      <c r="L911" s="227"/>
      <c r="N911" s="227"/>
      <c r="O911" s="228"/>
      <c r="P911" s="227"/>
    </row>
    <row r="912">
      <c r="E912" s="227"/>
      <c r="G912" s="227"/>
      <c r="J912" s="227"/>
      <c r="K912" s="227"/>
      <c r="L912" s="227"/>
      <c r="N912" s="227"/>
      <c r="O912" s="228"/>
      <c r="P912" s="227"/>
    </row>
    <row r="913">
      <c r="E913" s="227"/>
      <c r="G913" s="227"/>
      <c r="J913" s="227"/>
      <c r="K913" s="227"/>
      <c r="L913" s="227"/>
      <c r="N913" s="227"/>
      <c r="O913" s="228"/>
      <c r="P913" s="227"/>
    </row>
    <row r="914">
      <c r="E914" s="227"/>
      <c r="G914" s="227"/>
      <c r="J914" s="227"/>
      <c r="K914" s="227"/>
      <c r="L914" s="227"/>
      <c r="N914" s="227"/>
      <c r="O914" s="228"/>
      <c r="P914" s="227"/>
    </row>
    <row r="915">
      <c r="E915" s="227"/>
      <c r="G915" s="227"/>
      <c r="J915" s="227"/>
      <c r="K915" s="227"/>
      <c r="L915" s="227"/>
      <c r="N915" s="227"/>
      <c r="O915" s="228"/>
      <c r="P915" s="227"/>
    </row>
    <row r="916">
      <c r="E916" s="227"/>
      <c r="G916" s="227"/>
      <c r="J916" s="227"/>
      <c r="K916" s="227"/>
      <c r="L916" s="227"/>
      <c r="N916" s="227"/>
      <c r="O916" s="228"/>
      <c r="P916" s="227"/>
    </row>
    <row r="917">
      <c r="E917" s="227"/>
      <c r="G917" s="227"/>
      <c r="J917" s="227"/>
      <c r="K917" s="227"/>
      <c r="L917" s="227"/>
      <c r="N917" s="227"/>
      <c r="O917" s="228"/>
      <c r="P917" s="227"/>
    </row>
    <row r="918">
      <c r="E918" s="227"/>
      <c r="G918" s="227"/>
      <c r="J918" s="227"/>
      <c r="K918" s="227"/>
      <c r="L918" s="227"/>
      <c r="N918" s="227"/>
      <c r="O918" s="228"/>
      <c r="P918" s="227"/>
    </row>
    <row r="919">
      <c r="E919" s="227"/>
      <c r="G919" s="227"/>
      <c r="J919" s="227"/>
      <c r="K919" s="227"/>
      <c r="L919" s="227"/>
      <c r="N919" s="227"/>
      <c r="O919" s="228"/>
      <c r="P919" s="227"/>
    </row>
    <row r="920">
      <c r="E920" s="227"/>
      <c r="G920" s="227"/>
      <c r="J920" s="227"/>
      <c r="K920" s="227"/>
      <c r="L920" s="227"/>
      <c r="N920" s="227"/>
      <c r="O920" s="228"/>
      <c r="P920" s="227"/>
    </row>
    <row r="921">
      <c r="E921" s="227"/>
      <c r="G921" s="227"/>
      <c r="J921" s="227"/>
      <c r="K921" s="227"/>
      <c r="L921" s="227"/>
      <c r="N921" s="227"/>
      <c r="O921" s="228"/>
      <c r="P921" s="227"/>
    </row>
    <row r="922">
      <c r="E922" s="227"/>
      <c r="G922" s="227"/>
      <c r="J922" s="227"/>
      <c r="K922" s="227"/>
      <c r="L922" s="227"/>
      <c r="N922" s="227"/>
      <c r="O922" s="228"/>
      <c r="P922" s="227"/>
    </row>
    <row r="923">
      <c r="E923" s="227"/>
      <c r="G923" s="227"/>
      <c r="J923" s="227"/>
      <c r="K923" s="227"/>
      <c r="L923" s="227"/>
      <c r="N923" s="227"/>
      <c r="O923" s="228"/>
      <c r="P923" s="227"/>
    </row>
    <row r="924">
      <c r="E924" s="227"/>
      <c r="G924" s="227"/>
      <c r="J924" s="227"/>
      <c r="K924" s="227"/>
      <c r="L924" s="227"/>
      <c r="N924" s="227"/>
      <c r="O924" s="228"/>
      <c r="P924" s="227"/>
    </row>
    <row r="925">
      <c r="E925" s="227"/>
      <c r="G925" s="227"/>
      <c r="J925" s="227"/>
      <c r="K925" s="227"/>
      <c r="L925" s="227"/>
      <c r="N925" s="227"/>
      <c r="O925" s="228"/>
      <c r="P925" s="227"/>
    </row>
    <row r="926">
      <c r="E926" s="227"/>
      <c r="G926" s="227"/>
      <c r="J926" s="227"/>
      <c r="K926" s="227"/>
      <c r="L926" s="227"/>
      <c r="N926" s="227"/>
      <c r="O926" s="228"/>
      <c r="P926" s="227"/>
    </row>
    <row r="927">
      <c r="E927" s="227"/>
      <c r="G927" s="227"/>
      <c r="J927" s="227"/>
      <c r="K927" s="227"/>
      <c r="L927" s="227"/>
      <c r="N927" s="227"/>
      <c r="O927" s="228"/>
      <c r="P927" s="227"/>
    </row>
    <row r="928">
      <c r="E928" s="227"/>
      <c r="G928" s="227"/>
      <c r="J928" s="227"/>
      <c r="K928" s="227"/>
      <c r="L928" s="227"/>
      <c r="N928" s="227"/>
      <c r="O928" s="228"/>
      <c r="P928" s="227"/>
    </row>
    <row r="929">
      <c r="E929" s="227"/>
      <c r="G929" s="227"/>
      <c r="J929" s="227"/>
      <c r="K929" s="227"/>
      <c r="L929" s="227"/>
      <c r="N929" s="227"/>
      <c r="O929" s="228"/>
      <c r="P929" s="227"/>
    </row>
    <row r="930">
      <c r="E930" s="227"/>
      <c r="G930" s="227"/>
      <c r="J930" s="227"/>
      <c r="K930" s="227"/>
      <c r="L930" s="227"/>
      <c r="N930" s="227"/>
      <c r="O930" s="228"/>
      <c r="P930" s="227"/>
    </row>
    <row r="931">
      <c r="E931" s="227"/>
      <c r="G931" s="227"/>
      <c r="J931" s="227"/>
      <c r="K931" s="227"/>
      <c r="L931" s="227"/>
      <c r="N931" s="227"/>
      <c r="O931" s="228"/>
      <c r="P931" s="227"/>
    </row>
    <row r="932">
      <c r="E932" s="227"/>
      <c r="G932" s="227"/>
      <c r="J932" s="227"/>
      <c r="K932" s="227"/>
      <c r="L932" s="227"/>
      <c r="N932" s="227"/>
      <c r="O932" s="228"/>
      <c r="P932" s="227"/>
    </row>
    <row r="933">
      <c r="E933" s="227"/>
      <c r="G933" s="227"/>
      <c r="J933" s="227"/>
      <c r="K933" s="227"/>
      <c r="L933" s="227"/>
      <c r="N933" s="227"/>
      <c r="O933" s="228"/>
      <c r="P933" s="227"/>
    </row>
    <row r="934">
      <c r="E934" s="227"/>
      <c r="G934" s="227"/>
      <c r="J934" s="227"/>
      <c r="K934" s="227"/>
      <c r="L934" s="227"/>
      <c r="N934" s="227"/>
      <c r="O934" s="228"/>
      <c r="P934" s="227"/>
    </row>
    <row r="935">
      <c r="E935" s="227"/>
      <c r="G935" s="227"/>
      <c r="J935" s="227"/>
      <c r="K935" s="227"/>
      <c r="L935" s="227"/>
      <c r="N935" s="227"/>
      <c r="O935" s="228"/>
      <c r="P935" s="227"/>
    </row>
    <row r="936">
      <c r="E936" s="227"/>
      <c r="G936" s="227"/>
      <c r="J936" s="227"/>
      <c r="K936" s="227"/>
      <c r="L936" s="227"/>
      <c r="N936" s="227"/>
      <c r="O936" s="228"/>
      <c r="P936" s="227"/>
    </row>
    <row r="937">
      <c r="E937" s="227"/>
      <c r="G937" s="227"/>
      <c r="J937" s="227"/>
      <c r="K937" s="227"/>
      <c r="L937" s="227"/>
      <c r="N937" s="227"/>
      <c r="O937" s="228"/>
      <c r="P937" s="227"/>
    </row>
    <row r="938">
      <c r="E938" s="227"/>
      <c r="G938" s="227"/>
      <c r="J938" s="227"/>
      <c r="K938" s="227"/>
      <c r="L938" s="227"/>
      <c r="N938" s="227"/>
      <c r="O938" s="228"/>
      <c r="P938" s="227"/>
    </row>
    <row r="939">
      <c r="E939" s="227"/>
      <c r="G939" s="227"/>
      <c r="J939" s="227"/>
      <c r="K939" s="227"/>
      <c r="L939" s="227"/>
      <c r="N939" s="227"/>
      <c r="O939" s="228"/>
      <c r="P939" s="227"/>
    </row>
    <row r="940">
      <c r="E940" s="227"/>
      <c r="G940" s="227"/>
      <c r="J940" s="227"/>
      <c r="K940" s="227"/>
      <c r="L940" s="227"/>
      <c r="N940" s="227"/>
      <c r="O940" s="228"/>
      <c r="P940" s="227"/>
    </row>
    <row r="941">
      <c r="E941" s="227"/>
      <c r="G941" s="227"/>
      <c r="J941" s="227"/>
      <c r="K941" s="227"/>
      <c r="L941" s="227"/>
      <c r="N941" s="227"/>
      <c r="O941" s="228"/>
      <c r="P941" s="227"/>
    </row>
    <row r="942">
      <c r="E942" s="227"/>
      <c r="G942" s="227"/>
      <c r="J942" s="227"/>
      <c r="K942" s="227"/>
      <c r="L942" s="227"/>
      <c r="N942" s="227"/>
      <c r="O942" s="228"/>
      <c r="P942" s="227"/>
    </row>
    <row r="943">
      <c r="E943" s="227"/>
      <c r="G943" s="227"/>
      <c r="J943" s="227"/>
      <c r="K943" s="227"/>
      <c r="L943" s="227"/>
      <c r="N943" s="227"/>
      <c r="O943" s="228"/>
      <c r="P943" s="227"/>
    </row>
    <row r="944">
      <c r="E944" s="227"/>
      <c r="G944" s="227"/>
      <c r="J944" s="227"/>
      <c r="K944" s="227"/>
      <c r="L944" s="227"/>
      <c r="N944" s="227"/>
      <c r="O944" s="228"/>
      <c r="P944" s="227"/>
    </row>
    <row r="945">
      <c r="E945" s="227"/>
      <c r="G945" s="227"/>
      <c r="J945" s="227"/>
      <c r="K945" s="227"/>
      <c r="L945" s="227"/>
      <c r="N945" s="227"/>
      <c r="O945" s="228"/>
      <c r="P945" s="227"/>
    </row>
    <row r="946">
      <c r="E946" s="227"/>
      <c r="G946" s="227"/>
      <c r="J946" s="227"/>
      <c r="K946" s="227"/>
      <c r="L946" s="227"/>
      <c r="N946" s="227"/>
      <c r="O946" s="228"/>
      <c r="P946" s="227"/>
    </row>
    <row r="947">
      <c r="E947" s="227"/>
      <c r="G947" s="227"/>
      <c r="J947" s="227"/>
      <c r="K947" s="227"/>
      <c r="L947" s="227"/>
      <c r="N947" s="227"/>
      <c r="O947" s="228"/>
      <c r="P947" s="227"/>
    </row>
    <row r="948">
      <c r="E948" s="227"/>
      <c r="G948" s="227"/>
      <c r="J948" s="227"/>
      <c r="K948" s="227"/>
      <c r="L948" s="227"/>
      <c r="N948" s="227"/>
      <c r="O948" s="228"/>
      <c r="P948" s="227"/>
    </row>
    <row r="949">
      <c r="E949" s="227"/>
      <c r="G949" s="227"/>
      <c r="J949" s="227"/>
      <c r="K949" s="227"/>
      <c r="L949" s="227"/>
      <c r="N949" s="227"/>
      <c r="O949" s="228"/>
      <c r="P949" s="227"/>
    </row>
    <row r="950">
      <c r="E950" s="227"/>
      <c r="G950" s="227"/>
      <c r="J950" s="227"/>
      <c r="K950" s="227"/>
      <c r="L950" s="227"/>
      <c r="N950" s="227"/>
      <c r="O950" s="228"/>
      <c r="P950" s="227"/>
    </row>
    <row r="951">
      <c r="E951" s="227"/>
      <c r="G951" s="227"/>
      <c r="J951" s="227"/>
      <c r="K951" s="227"/>
      <c r="L951" s="227"/>
      <c r="N951" s="227"/>
      <c r="O951" s="228"/>
      <c r="P951" s="227"/>
    </row>
    <row r="952">
      <c r="E952" s="227"/>
      <c r="G952" s="227"/>
      <c r="J952" s="227"/>
      <c r="K952" s="227"/>
      <c r="L952" s="227"/>
      <c r="N952" s="227"/>
      <c r="O952" s="228"/>
      <c r="P952" s="227"/>
    </row>
    <row r="953">
      <c r="E953" s="227"/>
      <c r="G953" s="227"/>
      <c r="J953" s="227"/>
      <c r="K953" s="227"/>
      <c r="L953" s="227"/>
      <c r="N953" s="227"/>
      <c r="O953" s="228"/>
      <c r="P953" s="227"/>
    </row>
    <row r="954">
      <c r="E954" s="227"/>
      <c r="G954" s="227"/>
      <c r="J954" s="227"/>
      <c r="K954" s="227"/>
      <c r="L954" s="227"/>
      <c r="N954" s="227"/>
      <c r="O954" s="228"/>
      <c r="P954" s="227"/>
    </row>
    <row r="955">
      <c r="E955" s="227"/>
      <c r="G955" s="227"/>
      <c r="J955" s="227"/>
      <c r="K955" s="227"/>
      <c r="L955" s="227"/>
      <c r="N955" s="227"/>
      <c r="O955" s="228"/>
      <c r="P955" s="227"/>
    </row>
    <row r="956">
      <c r="E956" s="227"/>
      <c r="G956" s="227"/>
      <c r="J956" s="227"/>
      <c r="K956" s="227"/>
      <c r="L956" s="227"/>
      <c r="N956" s="227"/>
      <c r="O956" s="228"/>
      <c r="P956" s="227"/>
    </row>
    <row r="957">
      <c r="E957" s="227"/>
      <c r="G957" s="227"/>
      <c r="J957" s="227"/>
      <c r="K957" s="227"/>
      <c r="L957" s="227"/>
      <c r="N957" s="227"/>
      <c r="O957" s="228"/>
      <c r="P957" s="227"/>
    </row>
    <row r="958">
      <c r="E958" s="227"/>
      <c r="G958" s="227"/>
      <c r="J958" s="227"/>
      <c r="K958" s="227"/>
      <c r="L958" s="227"/>
      <c r="N958" s="227"/>
      <c r="O958" s="228"/>
      <c r="P958" s="227"/>
    </row>
    <row r="959">
      <c r="E959" s="227"/>
      <c r="G959" s="227"/>
      <c r="J959" s="227"/>
      <c r="K959" s="227"/>
      <c r="L959" s="227"/>
      <c r="N959" s="227"/>
      <c r="O959" s="228"/>
      <c r="P959" s="227"/>
    </row>
    <row r="960">
      <c r="E960" s="227"/>
      <c r="G960" s="227"/>
      <c r="J960" s="227"/>
      <c r="K960" s="227"/>
      <c r="L960" s="227"/>
      <c r="N960" s="227"/>
      <c r="O960" s="228"/>
      <c r="P960" s="227"/>
    </row>
    <row r="961">
      <c r="E961" s="227"/>
      <c r="G961" s="227"/>
      <c r="J961" s="227"/>
      <c r="K961" s="227"/>
      <c r="L961" s="227"/>
      <c r="N961" s="227"/>
      <c r="O961" s="228"/>
      <c r="P961" s="227"/>
    </row>
    <row r="962">
      <c r="E962" s="227"/>
      <c r="G962" s="227"/>
      <c r="J962" s="227"/>
      <c r="K962" s="227"/>
      <c r="L962" s="227"/>
      <c r="N962" s="227"/>
      <c r="O962" s="228"/>
      <c r="P962" s="227"/>
    </row>
    <row r="963">
      <c r="E963" s="227"/>
      <c r="G963" s="227"/>
      <c r="J963" s="227"/>
      <c r="K963" s="227"/>
      <c r="L963" s="227"/>
      <c r="N963" s="227"/>
      <c r="O963" s="228"/>
      <c r="P963" s="227"/>
    </row>
    <row r="964">
      <c r="E964" s="227"/>
      <c r="G964" s="227"/>
      <c r="J964" s="227"/>
      <c r="K964" s="227"/>
      <c r="L964" s="227"/>
      <c r="N964" s="227"/>
      <c r="O964" s="228"/>
      <c r="P964" s="227"/>
    </row>
    <row r="965">
      <c r="E965" s="227"/>
      <c r="G965" s="227"/>
      <c r="J965" s="227"/>
      <c r="K965" s="227"/>
      <c r="L965" s="227"/>
      <c r="N965" s="227"/>
      <c r="O965" s="228"/>
      <c r="P965" s="227"/>
    </row>
    <row r="966">
      <c r="E966" s="227"/>
      <c r="G966" s="227"/>
      <c r="J966" s="227"/>
      <c r="K966" s="227"/>
      <c r="L966" s="227"/>
      <c r="N966" s="227"/>
      <c r="O966" s="228"/>
      <c r="P966" s="227"/>
    </row>
    <row r="967">
      <c r="E967" s="227"/>
      <c r="G967" s="227"/>
      <c r="J967" s="227"/>
      <c r="K967" s="227"/>
      <c r="L967" s="227"/>
      <c r="N967" s="227"/>
      <c r="O967" s="228"/>
      <c r="P967" s="227"/>
    </row>
    <row r="968">
      <c r="E968" s="227"/>
      <c r="G968" s="227"/>
      <c r="J968" s="227"/>
      <c r="K968" s="227"/>
      <c r="L968" s="227"/>
      <c r="N968" s="227"/>
      <c r="O968" s="228"/>
      <c r="P968" s="227"/>
    </row>
    <row r="969">
      <c r="E969" s="227"/>
      <c r="G969" s="227"/>
      <c r="J969" s="227"/>
      <c r="K969" s="227"/>
      <c r="L969" s="227"/>
      <c r="N969" s="227"/>
      <c r="O969" s="228"/>
      <c r="P969" s="227"/>
    </row>
    <row r="970">
      <c r="E970" s="227"/>
      <c r="G970" s="227"/>
      <c r="J970" s="227"/>
      <c r="K970" s="227"/>
      <c r="L970" s="227"/>
      <c r="N970" s="227"/>
      <c r="O970" s="228"/>
      <c r="P970" s="227"/>
    </row>
    <row r="971">
      <c r="E971" s="227"/>
      <c r="G971" s="227"/>
      <c r="J971" s="227"/>
      <c r="K971" s="227"/>
      <c r="L971" s="227"/>
      <c r="N971" s="227"/>
      <c r="O971" s="228"/>
      <c r="P971" s="227"/>
    </row>
    <row r="972">
      <c r="E972" s="227"/>
      <c r="G972" s="227"/>
      <c r="J972" s="227"/>
      <c r="K972" s="227"/>
      <c r="L972" s="227"/>
      <c r="N972" s="227"/>
      <c r="O972" s="228"/>
      <c r="P972" s="227"/>
    </row>
    <row r="973">
      <c r="E973" s="227"/>
      <c r="G973" s="227"/>
      <c r="J973" s="227"/>
      <c r="K973" s="227"/>
      <c r="L973" s="227"/>
      <c r="N973" s="227"/>
      <c r="O973" s="228"/>
      <c r="P973" s="227"/>
    </row>
    <row r="974">
      <c r="E974" s="227"/>
      <c r="G974" s="227"/>
      <c r="J974" s="227"/>
      <c r="K974" s="227"/>
      <c r="L974" s="227"/>
      <c r="N974" s="227"/>
      <c r="O974" s="228"/>
      <c r="P974" s="227"/>
    </row>
    <row r="975">
      <c r="E975" s="227"/>
      <c r="G975" s="227"/>
      <c r="J975" s="227"/>
      <c r="K975" s="227"/>
      <c r="L975" s="227"/>
      <c r="N975" s="227"/>
      <c r="O975" s="228"/>
      <c r="P975" s="227"/>
    </row>
    <row r="976">
      <c r="E976" s="227"/>
      <c r="G976" s="227"/>
      <c r="J976" s="227"/>
      <c r="K976" s="227"/>
      <c r="L976" s="227"/>
      <c r="N976" s="227"/>
      <c r="O976" s="228"/>
      <c r="P976" s="227"/>
    </row>
    <row r="977">
      <c r="E977" s="227"/>
      <c r="G977" s="227"/>
      <c r="J977" s="227"/>
      <c r="K977" s="227"/>
      <c r="L977" s="227"/>
      <c r="N977" s="227"/>
      <c r="O977" s="228"/>
      <c r="P977" s="227"/>
    </row>
    <row r="978">
      <c r="E978" s="227"/>
      <c r="G978" s="227"/>
      <c r="J978" s="227"/>
      <c r="K978" s="227"/>
      <c r="L978" s="227"/>
      <c r="N978" s="227"/>
      <c r="O978" s="228"/>
      <c r="P978" s="227"/>
    </row>
    <row r="979">
      <c r="E979" s="227"/>
      <c r="G979" s="227"/>
      <c r="J979" s="227"/>
      <c r="K979" s="227"/>
      <c r="L979" s="227"/>
      <c r="N979" s="227"/>
      <c r="O979" s="228"/>
      <c r="P979" s="227"/>
    </row>
    <row r="980">
      <c r="E980" s="227"/>
      <c r="G980" s="227"/>
      <c r="J980" s="227"/>
      <c r="K980" s="227"/>
      <c r="L980" s="227"/>
      <c r="N980" s="227"/>
      <c r="O980" s="228"/>
      <c r="P980" s="227"/>
    </row>
    <row r="981">
      <c r="E981" s="227"/>
      <c r="G981" s="227"/>
      <c r="J981" s="227"/>
      <c r="K981" s="227"/>
      <c r="L981" s="227"/>
      <c r="N981" s="227"/>
      <c r="O981" s="228"/>
      <c r="P981" s="227"/>
    </row>
    <row r="982">
      <c r="O982" s="229"/>
    </row>
  </sheetData>
  <dataValidations>
    <dataValidation type="list" allowBlank="1" sqref="F2:F46">
      <formula1>"Yes,No"</formula1>
    </dataValidation>
    <dataValidation type="list" allowBlank="1" sqref="G2:G46">
      <formula1>"Open,Failed,Closed"</formula1>
    </dataValidation>
    <dataValidation type="list" allowBlank="1" sqref="J2:J46">
      <formula1>"Confirmed,Estimated"</formula1>
    </dataValidation>
    <dataValidation allowBlank="1" showDropDown="1" sqref="A2:A46"/>
    <dataValidation type="list" allowBlank="1" sqref="B2:B46">
      <formula1>"Finance,FMCG,Fashion,Tech/Telecom,Other,Fair,Automotive,Professional Services"</formula1>
    </dataValidation>
    <dataValidation type="custom" allowBlank="1" showDropDown="1" sqref="D2:D46 H2:H46">
      <formula1>AND(ISNUMBER(D2),(NOT(OR(NOT(ISERROR(DATEVALUE(D2))), AND(ISNUMBER(D2), LEFT(CELL("format", D2))="D")))))</formula1>
    </dataValidation>
  </dataValidation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sheetViews>
  <sheetFormatPr customHeight="1" defaultColWidth="12.63" defaultRowHeight="15.75"/>
  <cols>
    <col customWidth="1" min="1" max="1" width="32.88"/>
    <col customWidth="1" min="2" max="8" width="29.5"/>
    <col customWidth="1" min="9" max="9" width="14.38"/>
  </cols>
  <sheetData>
    <row r="1"/>
    <row r="2"/>
    <row r="3"/>
    <row r="4"/>
    <row r="5"/>
    <row r="6"/>
    <row r="7"/>
    <row r="8">
      <c r="J8" s="249"/>
    </row>
    <row r="9"/>
    <row r="10">
      <c r="A10" s="254" t="s">
        <v>212</v>
      </c>
      <c r="B10" s="255">
        <v>180.0</v>
      </c>
      <c r="C10" s="256">
        <v>120.0</v>
      </c>
      <c r="D10" s="255">
        <v>250.0</v>
      </c>
      <c r="E10" s="257">
        <v>200.0</v>
      </c>
      <c r="F10" s="255">
        <v>600.0</v>
      </c>
      <c r="G10" s="255">
        <v>80.0</v>
      </c>
      <c r="H10" s="258">
        <v>220.0</v>
      </c>
      <c r="I10" s="259"/>
      <c r="J10" s="260"/>
      <c r="K10" s="260"/>
      <c r="L10" s="260"/>
      <c r="M10" s="260"/>
      <c r="N10" s="260"/>
      <c r="O10" s="260"/>
      <c r="P10" s="260"/>
      <c r="Q10" s="260"/>
      <c r="R10" s="260"/>
      <c r="S10" s="260"/>
      <c r="T10" s="260"/>
      <c r="U10" s="260"/>
      <c r="V10" s="260"/>
      <c r="W10" s="260"/>
      <c r="X10" s="260"/>
      <c r="Y10" s="260"/>
      <c r="Z10" s="260"/>
      <c r="AA10" s="260"/>
      <c r="AB10" s="260"/>
      <c r="AC10" s="260"/>
      <c r="AD10" s="260"/>
      <c r="AE10" s="260"/>
      <c r="AF10" s="260"/>
      <c r="AG10" s="260"/>
      <c r="AH10" s="260"/>
      <c r="AI10" s="260"/>
      <c r="AJ10" s="260"/>
      <c r="AK10" s="260"/>
      <c r="AL10" s="260"/>
      <c r="AM10" s="260"/>
    </row>
    <row r="11">
      <c r="B11" s="259"/>
      <c r="C11" s="259"/>
      <c r="D11" s="259"/>
      <c r="E11" s="259"/>
      <c r="F11" s="259"/>
      <c r="G11" s="259"/>
      <c r="H11" s="259"/>
      <c r="I11" s="259"/>
      <c r="J11" s="260"/>
      <c r="K11" s="260"/>
      <c r="L11" s="260"/>
      <c r="M11" s="260"/>
      <c r="N11" s="260"/>
      <c r="O11" s="260"/>
      <c r="P11" s="260"/>
      <c r="Q11" s="260"/>
      <c r="R11" s="260"/>
      <c r="S11" s="260"/>
      <c r="T11" s="260"/>
      <c r="U11" s="260"/>
      <c r="V11" s="260"/>
      <c r="W11" s="260"/>
      <c r="X11" s="260"/>
      <c r="Y11" s="260"/>
      <c r="Z11" s="260"/>
      <c r="AA11" s="260"/>
      <c r="AB11" s="260"/>
      <c r="AC11" s="260"/>
      <c r="AD11" s="260"/>
      <c r="AE11" s="260"/>
      <c r="AF11" s="260"/>
      <c r="AG11" s="260"/>
      <c r="AH11" s="260"/>
      <c r="AI11" s="260"/>
      <c r="AJ11" s="260"/>
      <c r="AK11" s="260"/>
      <c r="AL11" s="260"/>
      <c r="AM11" s="260"/>
    </row>
    <row r="12">
      <c r="A12" s="261" t="s">
        <v>213</v>
      </c>
      <c r="B12" s="262">
        <f t="shared" ref="B12:H12" si="1">AVERAGE(B3:B5)</f>
        <v>2.547619048</v>
      </c>
      <c r="C12" s="263">
        <f t="shared" si="1"/>
        <v>2.947916667</v>
      </c>
      <c r="D12" s="262">
        <f t="shared" si="1"/>
        <v>2.282738095</v>
      </c>
      <c r="E12" s="262">
        <f t="shared" si="1"/>
        <v>2.458333333</v>
      </c>
      <c r="F12" s="262">
        <f t="shared" si="1"/>
        <v>2.229166667</v>
      </c>
      <c r="G12" s="262">
        <f t="shared" si="1"/>
        <v>2.545833333</v>
      </c>
      <c r="H12" s="264">
        <f t="shared" si="1"/>
        <v>3.416666667</v>
      </c>
    </row>
    <row r="13">
      <c r="A13" s="265" t="s">
        <v>214</v>
      </c>
      <c r="B13" s="241">
        <f t="shared" ref="B13:H13" si="2">average(B6:B8)</f>
        <v>3.523809524</v>
      </c>
      <c r="C13" s="242">
        <f t="shared" si="2"/>
        <v>3.416666667</v>
      </c>
      <c r="D13" s="241">
        <f t="shared" si="2"/>
        <v>3.261904762</v>
      </c>
      <c r="E13" s="241">
        <f t="shared" si="2"/>
        <v>2.666666667</v>
      </c>
      <c r="F13" s="241">
        <f t="shared" si="2"/>
        <v>3.111111111</v>
      </c>
      <c r="G13" s="241">
        <f t="shared" si="2"/>
        <v>3.866666667</v>
      </c>
      <c r="H13" s="266">
        <f t="shared" si="2"/>
        <v>4.133333333</v>
      </c>
    </row>
    <row r="14">
      <c r="A14" s="254" t="s">
        <v>215</v>
      </c>
      <c r="B14" s="267">
        <f t="shared" ref="B14:H14" si="3">B9/B10</f>
        <v>0.03888888889</v>
      </c>
      <c r="C14" s="267">
        <f t="shared" si="3"/>
        <v>0.03333333333</v>
      </c>
      <c r="D14" s="267">
        <f t="shared" si="3"/>
        <v>0.056</v>
      </c>
      <c r="E14" s="267">
        <f t="shared" si="3"/>
        <v>0.02</v>
      </c>
      <c r="F14" s="267">
        <f t="shared" si="3"/>
        <v>0.01</v>
      </c>
      <c r="G14" s="267">
        <f t="shared" si="3"/>
        <v>0.0625</v>
      </c>
      <c r="H14" s="267">
        <f t="shared" si="3"/>
        <v>0.02272727273</v>
      </c>
    </row>
    <row r="16">
      <c r="A16" s="268" t="s">
        <v>216</v>
      </c>
      <c r="B16" s="269">
        <v>4.0</v>
      </c>
      <c r="C16" s="270">
        <v>3.0</v>
      </c>
      <c r="D16" s="270">
        <v>3.0</v>
      </c>
      <c r="E16" s="270">
        <v>2.0</v>
      </c>
      <c r="F16" s="270">
        <v>2.0</v>
      </c>
      <c r="G16" s="270">
        <v>2.0</v>
      </c>
      <c r="H16" s="270">
        <v>2.0</v>
      </c>
    </row>
    <row r="18">
      <c r="A18" s="254" t="s">
        <v>217</v>
      </c>
      <c r="B18" s="254" t="s">
        <v>218</v>
      </c>
      <c r="C18" s="254" t="s">
        <v>218</v>
      </c>
      <c r="D18" s="254" t="s">
        <v>218</v>
      </c>
      <c r="E18" s="254" t="s">
        <v>219</v>
      </c>
      <c r="F18" s="254" t="s">
        <v>219</v>
      </c>
      <c r="G18" s="254" t="s">
        <v>218</v>
      </c>
      <c r="H18" s="254" t="s">
        <v>220</v>
      </c>
    </row>
    <row r="21">
      <c r="G21" s="271"/>
      <c r="H21" s="271"/>
    </row>
  </sheetData>
  <conditionalFormatting sqref="B2:H8 B12:H13 B16:H16">
    <cfRule type="cellIs" dxfId="5" priority="1" operator="greaterThan">
      <formula>4.1</formula>
    </cfRule>
  </conditionalFormatting>
  <conditionalFormatting sqref="B2:H8 B12:H13 B16:H16">
    <cfRule type="cellIs" dxfId="6" priority="2" operator="greaterThan">
      <formula>3.1</formula>
    </cfRule>
  </conditionalFormatting>
  <conditionalFormatting sqref="B2:H8 B12:H13 B16:H16">
    <cfRule type="cellIs" dxfId="7" priority="3" operator="greaterThan">
      <formula>2.1</formula>
    </cfRule>
  </conditionalFormatting>
  <conditionalFormatting sqref="B2:H8 B12:H13 B16:H16">
    <cfRule type="cellIs" dxfId="8" priority="4" operator="greaterThan">
      <formula>1.1</formula>
    </cfRule>
  </conditionalFormatting>
  <conditionalFormatting sqref="B2:H8 B12:H13 B16:H16">
    <cfRule type="cellIs" dxfId="9" priority="5" operator="greaterThan">
      <formula>0</formula>
    </cfRule>
  </conditionalFormatting>
  <conditionalFormatting sqref="B16">
    <cfRule type="notContainsBlanks" dxfId="10" priority="6">
      <formula>LEN(TRIM(B16))&gt;0</formula>
    </cfRule>
  </conditionalFormatting>
  <dataValidations>
    <dataValidation type="list" allowBlank="1" showErrorMessage="1" sqref="B18:H18">
      <formula1>"High,Medium ,Low"</formula1>
    </dataValidation>
  </dataValidation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8" width="31.38"/>
    <col customWidth="1" min="9" max="9" width="23.5"/>
  </cols>
  <sheetData>
    <row r="1">
      <c r="A1" s="230"/>
      <c r="B1" s="230"/>
      <c r="C1" s="230" t="s">
        <v>164</v>
      </c>
      <c r="D1" s="230"/>
      <c r="E1" s="230"/>
      <c r="F1" s="230"/>
      <c r="G1" s="230"/>
      <c r="H1" s="230"/>
    </row>
    <row r="2">
      <c r="A2" s="230" t="s">
        <v>204</v>
      </c>
      <c r="B2" s="272" t="s">
        <v>193</v>
      </c>
      <c r="C2" s="272" t="s">
        <v>221</v>
      </c>
      <c r="D2" s="273" t="s">
        <v>16</v>
      </c>
      <c r="E2" s="274" t="s">
        <v>36</v>
      </c>
      <c r="F2" s="274" t="s">
        <v>43</v>
      </c>
      <c r="G2" s="275" t="s">
        <v>76</v>
      </c>
      <c r="H2" s="274" t="s">
        <v>60</v>
      </c>
    </row>
    <row r="3" ht="132.75" customHeight="1">
      <c r="A3" s="276" t="s">
        <v>222</v>
      </c>
      <c r="B3" s="277" t="s">
        <v>223</v>
      </c>
      <c r="C3" s="277" t="s">
        <v>224</v>
      </c>
      <c r="D3" s="277" t="s">
        <v>225</v>
      </c>
      <c r="E3" s="277" t="s">
        <v>226</v>
      </c>
      <c r="F3" s="277" t="s">
        <v>227</v>
      </c>
      <c r="G3" s="277" t="s">
        <v>228</v>
      </c>
      <c r="H3" s="277" t="s">
        <v>229</v>
      </c>
    </row>
    <row r="4" ht="63.75" customHeight="1">
      <c r="A4" s="276" t="s">
        <v>230</v>
      </c>
      <c r="B4" s="278" t="s">
        <v>231</v>
      </c>
      <c r="C4" s="278" t="s">
        <v>231</v>
      </c>
      <c r="D4" s="277" t="s">
        <v>232</v>
      </c>
      <c r="E4" s="277" t="s">
        <v>233</v>
      </c>
      <c r="F4" s="278" t="s">
        <v>231</v>
      </c>
      <c r="G4" s="277" t="s">
        <v>234</v>
      </c>
      <c r="H4" s="278" t="s">
        <v>231</v>
      </c>
    </row>
    <row r="5" ht="63.75" customHeight="1">
      <c r="A5" s="276" t="s">
        <v>235</v>
      </c>
      <c r="B5" s="279" t="s">
        <v>236</v>
      </c>
      <c r="C5" s="279" t="s">
        <v>236</v>
      </c>
      <c r="D5" s="279" t="s">
        <v>236</v>
      </c>
      <c r="E5" s="279" t="s">
        <v>236</v>
      </c>
      <c r="F5" s="279" t="s">
        <v>236</v>
      </c>
      <c r="G5" s="279" t="s">
        <v>236</v>
      </c>
      <c r="H5" s="279" t="s">
        <v>237</v>
      </c>
    </row>
    <row r="6" ht="159.75" customHeight="1">
      <c r="A6" s="280" t="s">
        <v>238</v>
      </c>
      <c r="B6" s="281" t="s">
        <v>239</v>
      </c>
      <c r="C6" s="281" t="s">
        <v>239</v>
      </c>
      <c r="D6" s="281" t="s">
        <v>240</v>
      </c>
      <c r="E6" s="281" t="s">
        <v>241</v>
      </c>
      <c r="F6" s="281" t="s">
        <v>242</v>
      </c>
      <c r="G6" s="281" t="s">
        <v>243</v>
      </c>
      <c r="H6" s="281" t="s">
        <v>244</v>
      </c>
    </row>
    <row r="7">
      <c r="A7" s="282"/>
      <c r="B7" s="282" t="s">
        <v>245</v>
      </c>
      <c r="C7" s="282" t="s">
        <v>245</v>
      </c>
      <c r="D7" s="282" t="s">
        <v>220</v>
      </c>
      <c r="E7" s="282" t="s">
        <v>245</v>
      </c>
      <c r="F7" s="282" t="s">
        <v>246</v>
      </c>
      <c r="G7" s="282" t="s">
        <v>245</v>
      </c>
      <c r="H7" s="282" t="s">
        <v>246</v>
      </c>
    </row>
    <row r="14">
      <c r="A14" s="230" t="s">
        <v>204</v>
      </c>
      <c r="B14" s="283" t="s">
        <v>220</v>
      </c>
      <c r="C14" s="284" t="s">
        <v>245</v>
      </c>
      <c r="D14" s="285" t="s">
        <v>246</v>
      </c>
      <c r="E14" s="286" t="s">
        <v>247</v>
      </c>
      <c r="G14" s="287" t="s">
        <v>248</v>
      </c>
      <c r="H14" s="287" t="s">
        <v>249</v>
      </c>
      <c r="I14" s="287" t="s">
        <v>250</v>
      </c>
    </row>
    <row r="15">
      <c r="A15" s="288" t="s">
        <v>251</v>
      </c>
      <c r="B15" s="289" t="s">
        <v>252</v>
      </c>
      <c r="C15" s="290" t="s">
        <v>253</v>
      </c>
      <c r="D15" s="289" t="s">
        <v>254</v>
      </c>
      <c r="E15" s="289" t="s">
        <v>254</v>
      </c>
      <c r="G15" s="291" t="s">
        <v>51</v>
      </c>
      <c r="H15" s="291">
        <v>180.0</v>
      </c>
      <c r="I15" s="291">
        <v>10.7</v>
      </c>
    </row>
    <row r="16">
      <c r="A16" s="288" t="s">
        <v>255</v>
      </c>
      <c r="B16" s="289" t="s">
        <v>256</v>
      </c>
      <c r="C16" s="289" t="s">
        <v>257</v>
      </c>
      <c r="D16" s="292" t="s">
        <v>258</v>
      </c>
      <c r="E16" s="292" t="s">
        <v>259</v>
      </c>
      <c r="F16" s="293" t="s">
        <v>260</v>
      </c>
      <c r="G16" s="291" t="s">
        <v>261</v>
      </c>
      <c r="H16" s="291">
        <v>110.0</v>
      </c>
      <c r="I16" s="291">
        <v>2.4</v>
      </c>
    </row>
    <row r="17">
      <c r="A17" s="294" t="s">
        <v>262</v>
      </c>
      <c r="B17" s="289" t="s">
        <v>263</v>
      </c>
      <c r="C17" s="290" t="s">
        <v>264</v>
      </c>
      <c r="D17" s="295" t="s">
        <v>265</v>
      </c>
      <c r="E17" s="296" t="s">
        <v>266</v>
      </c>
      <c r="G17" s="291" t="s">
        <v>267</v>
      </c>
      <c r="H17" s="291">
        <v>200.0</v>
      </c>
      <c r="I17" s="291">
        <v>1.0</v>
      </c>
    </row>
    <row r="18">
      <c r="A18" s="271" t="s">
        <v>268</v>
      </c>
      <c r="B18" s="297">
        <v>0.3</v>
      </c>
      <c r="C18" s="297">
        <v>0.35</v>
      </c>
      <c r="D18" s="297">
        <v>0.15</v>
      </c>
      <c r="E18" s="297">
        <v>0.2</v>
      </c>
      <c r="G18" s="298" t="s">
        <v>269</v>
      </c>
      <c r="H18" s="291">
        <v>240.0</v>
      </c>
      <c r="I18" s="291">
        <v>10.0</v>
      </c>
    </row>
    <row r="19">
      <c r="G19" s="291" t="s">
        <v>270</v>
      </c>
      <c r="H19" s="291">
        <v>180.0</v>
      </c>
      <c r="I19" s="291">
        <v>5.1</v>
      </c>
    </row>
    <row r="20">
      <c r="G20" s="298" t="s">
        <v>271</v>
      </c>
      <c r="H20" s="291">
        <v>130.0</v>
      </c>
      <c r="I20" s="291">
        <v>3.8</v>
      </c>
    </row>
    <row r="21">
      <c r="G21" s="291" t="s">
        <v>272</v>
      </c>
      <c r="H21" s="291">
        <v>90.0</v>
      </c>
      <c r="I21" s="291">
        <v>1.4</v>
      </c>
    </row>
    <row r="23">
      <c r="G23" s="299" t="s">
        <v>273</v>
      </c>
    </row>
  </sheetData>
  <conditionalFormatting sqref="B14:E17">
    <cfRule type="cellIs" dxfId="5" priority="1" operator="greaterThan">
      <formula>4.1</formula>
    </cfRule>
  </conditionalFormatting>
  <conditionalFormatting sqref="B14:E17">
    <cfRule type="cellIs" dxfId="6" priority="2" operator="greaterThan">
      <formula>3.1</formula>
    </cfRule>
  </conditionalFormatting>
  <conditionalFormatting sqref="B14:E17">
    <cfRule type="cellIs" dxfId="7" priority="3" operator="greaterThan">
      <formula>2.1</formula>
    </cfRule>
  </conditionalFormatting>
  <conditionalFormatting sqref="B14:E17">
    <cfRule type="cellIs" dxfId="8" priority="4" operator="greaterThan">
      <formula>1.1</formula>
    </cfRule>
  </conditionalFormatting>
  <conditionalFormatting sqref="B14:E17">
    <cfRule type="cellIs" dxfId="9" priority="5" operator="greaterThan">
      <formula>0</formula>
    </cfRule>
  </conditionalFormatting>
  <conditionalFormatting sqref="B2:H2 B6:H6">
    <cfRule type="cellIs" dxfId="5" priority="6" operator="greaterThan">
      <formula>4.1</formula>
    </cfRule>
  </conditionalFormatting>
  <conditionalFormatting sqref="B2:H2 B6:H6">
    <cfRule type="cellIs" dxfId="6" priority="7" operator="greaterThan">
      <formula>3.1</formula>
    </cfRule>
  </conditionalFormatting>
  <conditionalFormatting sqref="B2:H2 B6:H6">
    <cfRule type="cellIs" dxfId="7" priority="8" operator="greaterThan">
      <formula>2.1</formula>
    </cfRule>
  </conditionalFormatting>
  <conditionalFormatting sqref="B2:H2 B6:H6">
    <cfRule type="cellIs" dxfId="8" priority="9" operator="greaterThan">
      <formula>1.1</formula>
    </cfRule>
  </conditionalFormatting>
  <conditionalFormatting sqref="B2:H2 B6:H6">
    <cfRule type="cellIs" dxfId="9" priority="10" operator="greaterThan">
      <formula>0</formula>
    </cfRule>
  </conditionalFormatting>
  <dataValidations>
    <dataValidation type="list" allowBlank="1" showErrorMessage="1" sqref="B7:H7">
      <formula1>"High,Medium,Resistant"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8" width="22.63"/>
    <col customWidth="1" min="9" max="9" width="91.0"/>
  </cols>
  <sheetData>
    <row r="1" ht="22.5" customHeight="1">
      <c r="A1" s="2" t="s">
        <v>274</v>
      </c>
      <c r="B1" s="2" t="s">
        <v>1</v>
      </c>
      <c r="C1" s="2" t="s">
        <v>2</v>
      </c>
      <c r="D1" s="2" t="s">
        <v>3</v>
      </c>
      <c r="E1" s="3" t="s">
        <v>4</v>
      </c>
      <c r="F1" s="3" t="s">
        <v>6</v>
      </c>
      <c r="G1" s="2" t="s">
        <v>7</v>
      </c>
      <c r="H1" s="2" t="s">
        <v>8</v>
      </c>
      <c r="I1" s="2" t="s">
        <v>10</v>
      </c>
    </row>
    <row r="2" ht="39.0" customHeight="1">
      <c r="A2" s="5" t="s">
        <v>275</v>
      </c>
      <c r="B2" s="6" t="s">
        <v>21</v>
      </c>
      <c r="C2" s="6" t="s">
        <v>13</v>
      </c>
      <c r="D2" s="13" t="s">
        <v>41</v>
      </c>
      <c r="E2" s="27" t="s">
        <v>276</v>
      </c>
      <c r="F2" s="300">
        <v>46100.0</v>
      </c>
      <c r="G2" s="301">
        <v>46119.0</v>
      </c>
      <c r="H2" s="302">
        <v>46139.0</v>
      </c>
      <c r="I2" s="5" t="s">
        <v>277</v>
      </c>
    </row>
    <row r="3" ht="22.5" customHeight="1">
      <c r="A3" s="5" t="s">
        <v>278</v>
      </c>
      <c r="B3" s="6" t="s">
        <v>21</v>
      </c>
      <c r="C3" s="6" t="s">
        <v>30</v>
      </c>
      <c r="D3" s="7" t="s">
        <v>14</v>
      </c>
      <c r="E3" s="303"/>
      <c r="F3" s="304"/>
      <c r="G3" s="301"/>
      <c r="H3" s="305"/>
      <c r="I3" s="12"/>
    </row>
    <row r="4" ht="22.5" customHeight="1">
      <c r="A4" s="5" t="s">
        <v>279</v>
      </c>
      <c r="B4" s="6" t="s">
        <v>21</v>
      </c>
      <c r="C4" s="6" t="s">
        <v>30</v>
      </c>
      <c r="D4" s="13" t="s">
        <v>41</v>
      </c>
      <c r="E4" s="27" t="s">
        <v>280</v>
      </c>
      <c r="F4" s="300">
        <v>46072.0</v>
      </c>
      <c r="G4" s="301">
        <v>46122.0</v>
      </c>
      <c r="H4" s="302">
        <v>46139.0</v>
      </c>
      <c r="I4" s="5" t="s">
        <v>281</v>
      </c>
    </row>
    <row r="5" ht="22.5" customHeight="1">
      <c r="A5" s="5" t="s">
        <v>282</v>
      </c>
      <c r="B5" s="6" t="s">
        <v>34</v>
      </c>
      <c r="C5" s="6" t="s">
        <v>30</v>
      </c>
      <c r="D5" s="13" t="s">
        <v>14</v>
      </c>
      <c r="E5" s="306"/>
      <c r="F5" s="307"/>
      <c r="G5" s="301"/>
      <c r="H5" s="305"/>
      <c r="I5" s="12"/>
    </row>
    <row r="6" ht="22.5" customHeight="1">
      <c r="A6" s="5" t="s">
        <v>283</v>
      </c>
      <c r="B6" s="6" t="s">
        <v>21</v>
      </c>
      <c r="C6" s="6" t="s">
        <v>22</v>
      </c>
      <c r="D6" s="13" t="s">
        <v>14</v>
      </c>
      <c r="E6" s="27" t="s">
        <v>284</v>
      </c>
      <c r="F6" s="308">
        <v>46095.0</v>
      </c>
      <c r="G6" s="301">
        <v>46109.0</v>
      </c>
      <c r="H6" s="302">
        <v>46118.0</v>
      </c>
      <c r="I6" s="5" t="s">
        <v>285</v>
      </c>
    </row>
    <row r="7" ht="22.5" customHeight="1">
      <c r="A7" s="5" t="s">
        <v>286</v>
      </c>
      <c r="B7" s="6" t="s">
        <v>21</v>
      </c>
      <c r="C7" s="6" t="s">
        <v>22</v>
      </c>
      <c r="D7" s="13" t="s">
        <v>14</v>
      </c>
      <c r="E7" s="84" t="s">
        <v>287</v>
      </c>
      <c r="F7" s="309">
        <v>46106.0</v>
      </c>
      <c r="G7" s="301">
        <v>46106.0</v>
      </c>
      <c r="H7" s="302">
        <v>46108.0</v>
      </c>
      <c r="I7" s="5" t="s">
        <v>288</v>
      </c>
    </row>
    <row r="8" ht="22.5" customHeight="1">
      <c r="A8" s="5" t="s">
        <v>289</v>
      </c>
      <c r="B8" s="6" t="s">
        <v>21</v>
      </c>
      <c r="C8" s="6" t="s">
        <v>30</v>
      </c>
      <c r="D8" s="7" t="s">
        <v>14</v>
      </c>
      <c r="E8" s="84" t="s">
        <v>290</v>
      </c>
      <c r="F8" s="309">
        <v>46106.0</v>
      </c>
      <c r="G8" s="301">
        <v>46106.0</v>
      </c>
      <c r="H8" s="302">
        <v>46108.0</v>
      </c>
      <c r="I8" s="12"/>
    </row>
    <row r="9" ht="22.5" customHeight="1">
      <c r="A9" s="5" t="s">
        <v>291</v>
      </c>
      <c r="B9" s="6" t="s">
        <v>21</v>
      </c>
      <c r="C9" s="6" t="s">
        <v>13</v>
      </c>
      <c r="D9" s="13" t="s">
        <v>14</v>
      </c>
      <c r="E9" s="84" t="s">
        <v>287</v>
      </c>
      <c r="F9" s="309">
        <v>46106.0</v>
      </c>
      <c r="G9" s="301">
        <v>46106.0</v>
      </c>
      <c r="H9" s="302">
        <v>46108.0</v>
      </c>
      <c r="I9" s="12"/>
    </row>
    <row r="10" ht="22.5" customHeight="1">
      <c r="A10" s="5" t="s">
        <v>292</v>
      </c>
      <c r="B10" s="6" t="s">
        <v>21</v>
      </c>
      <c r="C10" s="6" t="s">
        <v>22</v>
      </c>
      <c r="D10" s="13" t="s">
        <v>14</v>
      </c>
      <c r="E10" s="84" t="s">
        <v>287</v>
      </c>
      <c r="F10" s="309">
        <v>46106.0</v>
      </c>
      <c r="G10" s="301">
        <v>46106.0</v>
      </c>
      <c r="H10" s="302">
        <v>46108.0</v>
      </c>
      <c r="I10" s="5" t="s">
        <v>293</v>
      </c>
    </row>
    <row r="11" ht="22.5" customHeight="1">
      <c r="A11" s="5" t="s">
        <v>294</v>
      </c>
      <c r="B11" s="6" t="s">
        <v>21</v>
      </c>
      <c r="C11" s="6" t="s">
        <v>30</v>
      </c>
      <c r="D11" s="13" t="s">
        <v>14</v>
      </c>
      <c r="E11" s="84" t="s">
        <v>287</v>
      </c>
      <c r="F11" s="309">
        <v>46106.0</v>
      </c>
      <c r="G11" s="301">
        <v>46106.0</v>
      </c>
      <c r="H11" s="302">
        <v>46108.0</v>
      </c>
      <c r="I11" s="5" t="s">
        <v>295</v>
      </c>
    </row>
    <row r="12" ht="22.5" customHeight="1">
      <c r="A12" s="5" t="s">
        <v>296</v>
      </c>
      <c r="B12" s="6" t="s">
        <v>21</v>
      </c>
      <c r="C12" s="6" t="s">
        <v>30</v>
      </c>
      <c r="D12" s="13" t="s">
        <v>14</v>
      </c>
      <c r="E12" s="27" t="s">
        <v>297</v>
      </c>
      <c r="F12" s="308">
        <v>46094.0</v>
      </c>
      <c r="G12" s="301">
        <v>46096.0</v>
      </c>
      <c r="H12" s="302">
        <v>46112.0</v>
      </c>
      <c r="I12" s="5" t="s">
        <v>298</v>
      </c>
    </row>
    <row r="13" ht="22.5" customHeight="1">
      <c r="A13" s="5" t="s">
        <v>299</v>
      </c>
      <c r="B13" s="6" t="s">
        <v>21</v>
      </c>
      <c r="C13" s="6" t="s">
        <v>22</v>
      </c>
      <c r="D13" s="13" t="s">
        <v>14</v>
      </c>
      <c r="E13" s="84" t="s">
        <v>87</v>
      </c>
      <c r="F13" s="310">
        <v>46099.0</v>
      </c>
      <c r="G13" s="301">
        <v>46101.0</v>
      </c>
      <c r="H13" s="302">
        <v>46111.0</v>
      </c>
      <c r="I13" s="12"/>
    </row>
    <row r="14" ht="22.5" customHeight="1">
      <c r="A14" s="5" t="s">
        <v>300</v>
      </c>
      <c r="B14" s="6" t="s">
        <v>8</v>
      </c>
      <c r="C14" s="6" t="s">
        <v>22</v>
      </c>
      <c r="D14" s="13" t="s">
        <v>14</v>
      </c>
      <c r="E14" s="27" t="s">
        <v>301</v>
      </c>
      <c r="F14" s="300">
        <v>46099.0</v>
      </c>
      <c r="G14" s="301">
        <v>46108.0</v>
      </c>
      <c r="H14" s="302">
        <v>46108.0</v>
      </c>
      <c r="I14" s="5" t="s">
        <v>302</v>
      </c>
    </row>
  </sheetData>
  <dataValidations>
    <dataValidation type="list" allowBlank="1" sqref="B2:B14">
      <formula1>"Deal Closed,Advanced,Follow Up,Early,Recurring,Back to Attack"</formula1>
    </dataValidation>
    <dataValidation type="list" allowBlank="1" sqref="C2:C14">
      <formula1>"Hot Lead,Warm Lead,Cold Lead"</formula1>
    </dataValidation>
    <dataValidation type="custom" allowBlank="1" showDropDown="1" sqref="H2:H14">
      <formula1>OR(NOT(ISERROR(DATEVALUE(H2))), AND(ISNUMBER(H2), LEFT(CELL("format", H2))="D"))</formula1>
    </dataValidation>
    <dataValidation type="custom" allowBlank="1" showDropDown="1" sqref="F2:G14">
      <formula1>OR(NOT(ISERROR(DATEVALUE(F2))), AND(ISNUMBER(F2), LEFT(CELL("format", F2))="D"))</formula1>
    </dataValidation>
    <dataValidation allowBlank="1" showDropDown="1" sqref="A2:A14 I2:I14"/>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s>
  <drawing r:id="rId14"/>
  <tableParts count="1">
    <tablePart r:id="rId1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6.13"/>
    <col customWidth="1" min="5" max="5" width="18.88"/>
    <col customWidth="1" min="6" max="6" width="18.0"/>
    <col customWidth="1" min="7" max="7" width="17.38"/>
  </cols>
  <sheetData>
    <row r="1" ht="22.5" customHeight="1">
      <c r="A1" s="71" t="s">
        <v>163</v>
      </c>
      <c r="B1" s="69" t="s">
        <v>166</v>
      </c>
      <c r="C1" s="69" t="s">
        <v>168</v>
      </c>
      <c r="D1" s="69" t="s">
        <v>303</v>
      </c>
      <c r="E1" s="69" t="s">
        <v>175</v>
      </c>
      <c r="F1" s="69" t="s">
        <v>304</v>
      </c>
      <c r="G1" s="69" t="s">
        <v>305</v>
      </c>
      <c r="H1" s="69" t="s">
        <v>206</v>
      </c>
      <c r="I1" s="69" t="s">
        <v>306</v>
      </c>
      <c r="J1" s="69" t="s">
        <v>10</v>
      </c>
    </row>
    <row r="2" ht="22.5" customHeight="1">
      <c r="A2" s="311" t="s">
        <v>49</v>
      </c>
      <c r="B2" s="312"/>
      <c r="C2" s="312"/>
      <c r="D2" s="312"/>
      <c r="E2" s="312"/>
      <c r="F2" s="312"/>
      <c r="G2" s="312"/>
      <c r="H2" s="312"/>
      <c r="I2" s="313" t="s">
        <v>51</v>
      </c>
      <c r="J2" s="314"/>
    </row>
    <row r="3" ht="22.5" customHeight="1">
      <c r="A3" s="315" t="s">
        <v>98</v>
      </c>
      <c r="B3" s="316"/>
      <c r="C3" s="316"/>
      <c r="D3" s="316"/>
      <c r="E3" s="316"/>
      <c r="F3" s="316"/>
      <c r="G3" s="316"/>
      <c r="H3" s="316"/>
      <c r="I3" s="317" t="s">
        <v>36</v>
      </c>
      <c r="J3" s="318"/>
    </row>
    <row r="4" ht="22.5" customHeight="1">
      <c r="A4" s="311" t="s">
        <v>83</v>
      </c>
      <c r="B4" s="312"/>
      <c r="C4" s="312"/>
      <c r="D4" s="312"/>
      <c r="E4" s="312"/>
      <c r="F4" s="312"/>
      <c r="G4" s="312"/>
      <c r="H4" s="312"/>
      <c r="I4" s="319" t="s">
        <v>18</v>
      </c>
      <c r="J4" s="314"/>
    </row>
    <row r="5" ht="22.5" customHeight="1">
      <c r="A5" s="315" t="s">
        <v>45</v>
      </c>
      <c r="B5" s="316"/>
      <c r="C5" s="316"/>
      <c r="D5" s="316"/>
      <c r="E5" s="316"/>
      <c r="F5" s="316"/>
      <c r="G5" s="316"/>
      <c r="H5" s="316"/>
      <c r="I5" s="193" t="s">
        <v>43</v>
      </c>
      <c r="J5" s="318"/>
    </row>
    <row r="6" ht="22.5" customHeight="1">
      <c r="A6" s="315" t="s">
        <v>133</v>
      </c>
      <c r="B6" s="320"/>
      <c r="C6" s="320"/>
      <c r="D6" s="320"/>
      <c r="E6" s="320"/>
      <c r="F6" s="320"/>
      <c r="G6" s="320"/>
      <c r="H6" s="320"/>
      <c r="I6" s="321" t="s">
        <v>16</v>
      </c>
      <c r="J6" s="322"/>
    </row>
    <row r="7" ht="22.5" customHeight="1">
      <c r="A7" s="323" t="s">
        <v>102</v>
      </c>
      <c r="B7" s="324"/>
      <c r="C7" s="324"/>
      <c r="D7" s="324"/>
      <c r="E7" s="324"/>
      <c r="F7" s="324"/>
      <c r="G7" s="324"/>
      <c r="H7" s="324"/>
      <c r="I7" s="325" t="s">
        <v>60</v>
      </c>
      <c r="J7" s="326"/>
    </row>
  </sheetData>
  <dataValidations>
    <dataValidation type="list" allowBlank="1" sqref="I2:I7">
      <formula1>"Financial,FMCG,Fashion,Tech/Telecom,Other,Fair,Automotive"</formula1>
    </dataValidation>
    <dataValidation allowBlank="1" showDropDown="1" sqref="A2:A7 J2:J7"/>
  </dataValidations>
  <drawing r:id="rId1"/>
  <tableParts count="1">
    <tablePart r:id="rId3"/>
  </tableParts>
</worksheet>
</file>